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irements_Register" sheetId="1" state="visible" r:id="rId1"/>
    <sheet xmlns:r="http://schemas.openxmlformats.org/officeDocument/2006/relationships" name="Category_Summary" sheetId="2" state="visible" r:id="rId2"/>
    <sheet xmlns:r="http://schemas.openxmlformats.org/officeDocument/2006/relationships" name="Source_References" sheetId="3" state="visible" r:id="rId3"/>
  </sheets>
  <definedNames>
    <definedName name="_xlnm._FilterDatabase" localSheetId="0" hidden="1">'Requirements_Register'!$A$1:$L$39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Segoe UI"/>
      <color rgb="001A1A1A"/>
      <sz val="9.5"/>
    </font>
    <font>
      <name val="Segoe UI"/>
      <b val="1"/>
      <color rgb="001A1A1A"/>
      <sz val="9.5"/>
    </font>
    <font>
      <name val="Segoe UI"/>
      <b val="1"/>
      <color rgb="00274E13"/>
      <sz val="9.5"/>
    </font>
    <font>
      <name val="Segoe UI"/>
      <b val="1"/>
      <color rgb="008A6D3B"/>
      <sz val="9.5"/>
    </font>
    <font>
      <name val="Segoe UI"/>
      <b val="1"/>
      <color rgb="00FFFFFF"/>
      <sz val="10"/>
    </font>
    <font>
      <name val="Segoe UI"/>
      <b val="1"/>
      <color rgb="001F3864"/>
      <sz val="14"/>
    </font>
    <font>
      <name val="Segoe UI"/>
      <i val="1"/>
      <color rgb="00595959"/>
      <sz val="10"/>
    </font>
    <font>
      <name val="Segoe UI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F9FAFC"/>
        <bgColor rgb="00F9FAFC"/>
      </patternFill>
    </fill>
    <fill>
      <patternFill patternType="solid">
        <fgColor rgb="00E2EFDA"/>
        <bgColor rgb="00E2EFDA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D9E1F2"/>
        <bgColor rgb="00D9E1F2"/>
      </patternFill>
    </fill>
    <fill>
      <patternFill patternType="solid">
        <fgColor rgb="002F5597"/>
        <bgColor rgb="002F5597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E7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5" fillId="6" borderId="2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right" vertical="center"/>
    </xf>
    <xf numFmtId="0" fontId="1" fillId="0" borderId="1" applyAlignment="1" pivotButton="0" quotePrefix="0" xfId="0">
      <alignment horizontal="left" vertical="center" wrapText="1"/>
    </xf>
    <xf numFmtId="0" fontId="8" fillId="7" borderId="3" pivotButton="0" quotePrefix="0" xfId="0"/>
    <xf numFmtId="0" fontId="8" fillId="7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right" vertical="center"/>
    </xf>
    <xf numFmtId="0" fontId="5" fillId="8" borderId="2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16" customWidth="1" min="3" max="3"/>
    <col width="26" customWidth="1" min="4" max="4"/>
    <col width="26" customWidth="1" min="5" max="5"/>
    <col width="28" customWidth="1" min="6" max="6"/>
    <col width="38" customWidth="1" min="7" max="7"/>
    <col width="15" customWidth="1" min="8" max="8"/>
    <col width="20" customWidth="1" min="9" max="9"/>
    <col width="22" customWidth="1" min="10" max="10"/>
    <col width="38" customWidth="1" min="11" max="11"/>
    <col width="30" customWidth="1" min="12" max="12"/>
  </cols>
  <sheetData>
    <row r="1" ht="28" customHeight="1">
      <c r="A1" s="1" t="inlineStr">
        <is>
          <t>Draft Reference</t>
        </is>
      </c>
      <c r="B1" s="1" t="inlineStr">
        <is>
          <t>Requirement Description</t>
        </is>
      </c>
      <c r="C1" s="1" t="inlineStr">
        <is>
          <t>Category</t>
        </is>
      </c>
      <c r="D1" s="1" t="inlineStr">
        <is>
          <t>Requirement Type / Subcategory</t>
        </is>
      </c>
      <c r="E1" s="1" t="inlineStr">
        <is>
          <t>Source Document</t>
        </is>
      </c>
      <c r="F1" s="1" t="inlineStr">
        <is>
          <t>Source Section / Page</t>
        </is>
      </c>
      <c r="G1" s="1" t="inlineStr">
        <is>
          <t>Source Statement or Rationale</t>
        </is>
      </c>
      <c r="H1" s="1" t="inlineStr">
        <is>
          <t>Priority</t>
        </is>
      </c>
      <c r="I1" s="1" t="inlineStr">
        <is>
          <t>Verification Method (Preliminary)</t>
        </is>
      </c>
      <c r="J1" s="1" t="inlineStr">
        <is>
          <t>Status</t>
        </is>
      </c>
      <c r="K1" s="1" t="inlineStr">
        <is>
          <t>Clarification Needed</t>
        </is>
      </c>
      <c r="L1" s="1" t="inlineStr">
        <is>
          <t>Notes</t>
        </is>
      </c>
    </row>
    <row r="2" ht="42" customHeight="1">
      <c r="A2" s="2" t="inlineStr">
        <is>
          <t>DRAFT-F-001</t>
        </is>
      </c>
      <c r="B2" s="3" t="inlineStr">
        <is>
          <t>The system shall capture and hardware-synchronize daylight optical CMOS video and uncooled Long-Wave Infrared (LWIR) bolometer thermal video streams over multi-lane MIPI-CSI Gen3 camera buses.</t>
        </is>
      </c>
      <c r="C2" s="4" t="inlineStr">
        <is>
          <t>Functional</t>
        </is>
      </c>
      <c r="D2" s="3" t="inlineStr">
        <is>
          <t>Perception &amp; Ingress</t>
        </is>
      </c>
      <c r="E2" s="3" t="inlineStr">
        <is>
          <t>REA-T1-OVERVIEW-2026-V1.0</t>
        </is>
      </c>
      <c r="F2" s="3" t="inlineStr">
        <is>
          <t>Section 7 (Module 02), Section 8.2 (p. 8, 9)</t>
        </is>
      </c>
      <c r="G2" s="3" t="inlineStr">
        <is>
          <t>Module 02 provides stabilized day/night surveillance and target acquisition through fog and dust via high-speed MIPI-CSI dual-stream video.</t>
        </is>
      </c>
      <c r="H2" s="4" t="inlineStr">
        <is>
          <t>Not Assigned</t>
        </is>
      </c>
      <c r="I2" s="4" t="inlineStr">
        <is>
          <t>Demonstration</t>
        </is>
      </c>
      <c r="J2" s="5" t="inlineStr">
        <is>
          <t>Proposed for Review</t>
        </is>
      </c>
      <c r="K2" s="3" t="inlineStr">
        <is>
          <t>Optical CMOS resolution (e.g. 4K/1080p), LWIR bolometer resolution (e.g. 640x512), and frame rates (FPS) not quantified in technical overview.</t>
        </is>
      </c>
      <c r="L2" s="3" t="inlineStr">
        <is>
          <t>Feeds directly into Module 03 (EDGE-AI) via Layer A.</t>
        </is>
      </c>
    </row>
    <row r="3" ht="42" customHeight="1">
      <c r="A3" s="6" t="inlineStr">
        <is>
          <t>DRAFT-F-002</t>
        </is>
      </c>
      <c r="B3" s="7" t="inlineStr">
        <is>
          <t>The system shall ingest real-time distance measurements and obstacle point clouds from an onboard lightweight micro-LiDAR sensor over a dedicated high-speed serial bus.</t>
        </is>
      </c>
      <c r="C3" s="8" t="inlineStr">
        <is>
          <t>Functional</t>
        </is>
      </c>
      <c r="D3" s="7" t="inlineStr">
        <is>
          <t>Perception &amp; Ingress</t>
        </is>
      </c>
      <c r="E3" s="7" t="inlineStr">
        <is>
          <t>REA-T1-OVERVIEW-2026-V1.0</t>
        </is>
      </c>
      <c r="F3" s="7" t="inlineStr">
        <is>
          <t>Section 3.1, Section 6.2, Section 7 (Module 01) (p. 4, 7, 8)</t>
        </is>
      </c>
      <c r="G3" s="7" t="inlineStr">
        <is>
          <t>Micro-LiDAR range data serves as an active input for terrain elevation modeling, obstacle avoidance, and VIO drift correction.</t>
        </is>
      </c>
      <c r="H3" s="8" t="inlineStr">
        <is>
          <t>Not Assigned</t>
        </is>
      </c>
      <c r="I3" s="8" t="inlineStr">
        <is>
          <t>Test</t>
        </is>
      </c>
      <c r="J3" s="9" t="inlineStr">
        <is>
          <t>Pending Clarification</t>
        </is>
      </c>
      <c r="K3" s="7" t="inlineStr">
        <is>
          <t>Micro-LiDAR update rate (Hz), maximum operating range (meters), angular field of view, and exact physical interface protocol not stated.</t>
        </is>
      </c>
      <c r="L3" s="7" t="inlineStr">
        <is>
          <t>Shared between Module 01 (VIO-NAV) and Module 02.</t>
        </is>
      </c>
    </row>
    <row r="4" ht="42" customHeight="1">
      <c r="A4" s="2" t="inlineStr">
        <is>
          <t>DRAFT-F-003</t>
        </is>
      </c>
      <c r="B4" s="3" t="inlineStr">
        <is>
          <t>The system shall ingest synchronized acoustic air pressure signals from a 4-channel microphone array and execute Time-Difference-of-Arrival (TDoA) algorithms to calculate bearing vectors to acoustic impulse noises.</t>
        </is>
      </c>
      <c r="C4" s="4" t="inlineStr">
        <is>
          <t>Functional</t>
        </is>
      </c>
      <c r="D4" s="3" t="inlineStr">
        <is>
          <t>Acoustic Sensing &amp; DSP</t>
        </is>
      </c>
      <c r="E4" s="3" t="inlineStr">
        <is>
          <t>REA-T1-OVERVIEW-2026-V1.0</t>
        </is>
      </c>
      <c r="F4" s="3" t="inlineStr">
        <is>
          <t>Section 4 (Domain 5), Section 7 (Module 04), Section 8.2 (p. 5, 8, 9)</t>
        </is>
      </c>
      <c r="G4" s="3" t="inlineStr">
        <is>
          <t>Module 04 evaluates Time-Difference-of-Arrival (TDoA) acoustic localization from a 4-channel microphone array over high-speed SPI/USB 3.0 audio PDM arrays.</t>
        </is>
      </c>
      <c r="H4" s="4" t="inlineStr">
        <is>
          <t>Not Assigned</t>
        </is>
      </c>
      <c r="I4" s="4" t="inlineStr">
        <is>
          <t>Demonstration</t>
        </is>
      </c>
      <c r="J4" s="9" t="inlineStr">
        <is>
          <t>Pending Clarification</t>
        </is>
      </c>
      <c r="K4" s="3" t="inlineStr">
        <is>
          <t>Acoustic sampling rate, frequency response band, minimum detection range, and angular bearing accuracy threshold missing.</t>
        </is>
      </c>
      <c r="L4" s="3" t="inlineStr">
        <is>
          <t>Part of Module 04 (EW-DSP) and Layer A.</t>
        </is>
      </c>
    </row>
    <row r="5" ht="42" customHeight="1">
      <c r="A5" s="6" t="inlineStr">
        <is>
          <t>DRAFT-F-004</t>
        </is>
      </c>
      <c r="B5" s="7" t="inlineStr">
        <is>
          <t>The system shall capture and condition subsurface radar echo signals from an onboard micro-Ground Penetrating Radar (GPR) antenna to detect subsurface anomalies and buried tactical targets.</t>
        </is>
      </c>
      <c r="C5" s="8" t="inlineStr">
        <is>
          <t>Functional</t>
        </is>
      </c>
      <c r="D5" s="7" t="inlineStr">
        <is>
          <t>Subsurface Sensing &amp; DSP</t>
        </is>
      </c>
      <c r="E5" s="7" t="inlineStr">
        <is>
          <t>REA-T1-OVERVIEW-2026-V1.0</t>
        </is>
      </c>
      <c r="F5" s="7" t="inlineStr">
        <is>
          <t>Section 4 (Domain 8), Section 7 (Module 04), Section 8.2 (p. 5, 8, 9)</t>
        </is>
      </c>
      <c r="G5" s="7" t="inlineStr">
        <is>
          <t>Module 04 processes 16-bit IQ samples from a micro-GPR antenna routed via high-speed SPI/USB 3.0 to image subsurface targets.</t>
        </is>
      </c>
      <c r="H5" s="8" t="inlineStr">
        <is>
          <t>Not Assigned</t>
        </is>
      </c>
      <c r="I5" s="8" t="inlineStr">
        <is>
          <t>Test</t>
        </is>
      </c>
      <c r="J5" s="9" t="inlineStr">
        <is>
          <t>Pending Clarification</t>
        </is>
      </c>
      <c r="K5" s="7" t="inlineStr">
        <is>
          <t>GPR center frequency, radar bandwidth, maximum penetration depth across ice/snow/dry soil, and spatial resolution undefined.</t>
        </is>
      </c>
      <c r="L5" s="7" t="inlineStr">
        <is>
          <t>Layer A sensory ingress feeding Layer C DSP thread.</t>
        </is>
      </c>
    </row>
    <row r="6" ht="42" customHeight="1">
      <c r="A6" s="2" t="inlineStr">
        <is>
          <t>DRAFT-F-005</t>
        </is>
      </c>
      <c r="B6" s="3" t="inlineStr">
        <is>
          <t>The system shall ingest environmental transducer telemetry from onboard airborne CBRN sensors to detect and map airborne chemical, biological, radiological, and nuclear hazard plumes.</t>
        </is>
      </c>
      <c r="C6" s="4" t="inlineStr">
        <is>
          <t>Functional</t>
        </is>
      </c>
      <c r="D6" s="3" t="inlineStr">
        <is>
          <t>Environmental Sensing &amp; CBRN</t>
        </is>
      </c>
      <c r="E6" s="3" t="inlineStr">
        <is>
          <t>REA-T1-OVERVIEW-2026-V1.0</t>
        </is>
      </c>
      <c r="F6" s="3" t="inlineStr">
        <is>
          <t>Section 3.1, Section 4 (Domain 8), Section 7 (Module 02) (p. 4, 5, 8)</t>
        </is>
      </c>
      <c r="G6" s="3" t="inlineStr">
        <is>
          <t>Digital CBRN sniffers provide airborne hazard-mapping data within the multi-modal sensor payload suite.</t>
        </is>
      </c>
      <c r="H6" s="4" t="inlineStr">
        <is>
          <t>Not Assigned</t>
        </is>
      </c>
      <c r="I6" s="4" t="inlineStr">
        <is>
          <t>Demonstration</t>
        </is>
      </c>
      <c r="J6" s="9" t="inlineStr">
        <is>
          <t>Pending Clarification</t>
        </is>
      </c>
      <c r="K6" s="3" t="inlineStr">
        <is>
          <t>Target chemical/radiological detection thresholds, sensor response latency, and MAVLink telemetry reporting packet format unspecified.</t>
        </is>
      </c>
      <c r="L6" s="3" t="inlineStr">
        <is>
          <t>Belongs to Layer A / Module 02.</t>
        </is>
      </c>
    </row>
    <row r="7" ht="42" customHeight="1">
      <c r="A7" s="6" t="inlineStr">
        <is>
          <t>DRAFT-F-006</t>
        </is>
      </c>
      <c r="B7" s="7" t="inlineStr">
        <is>
          <t>The system shall maintain real-time 6-DOF vehicle pose, velocity, and altitude estimation in satellite-jammed airspace by fusing high-rate IMU angular rates with Visual-Inertial Odometry (VIO) and onboard Digital Elevation Models (DEM).</t>
        </is>
      </c>
      <c r="C7" s="8" t="inlineStr">
        <is>
          <t>Functional</t>
        </is>
      </c>
      <c r="D7" s="7" t="inlineStr">
        <is>
          <t>Navigation &amp; Autonomy</t>
        </is>
      </c>
      <c r="E7" s="7" t="inlineStr">
        <is>
          <t>REA-T1-OVERVIEW-2026-V1.0</t>
        </is>
      </c>
      <c r="F7" s="7" t="inlineStr">
        <is>
          <t>Section 2.2 (Obj 1), Section 7 (Module 01), Section 8.2 (p. 3, 8, 9)</t>
        </is>
      </c>
      <c r="G7" s="7" t="inlineStr">
        <is>
          <t>Module 01 maintains continuous, drift-bounded 6-DOF kinematic state estimation in contested airspace without cumulative drift.</t>
        </is>
      </c>
      <c r="H7" s="8" t="inlineStr">
        <is>
          <t>Not Assigned</t>
        </is>
      </c>
      <c r="I7" s="8" t="inlineStr">
        <is>
          <t>Test</t>
        </is>
      </c>
      <c r="J7" s="5" t="inlineStr">
        <is>
          <t>Proposed for Review</t>
        </is>
      </c>
      <c r="K7" s="7" t="inlineStr">
        <is>
          <t>IMU sampling frequency, camera tracking framerate, DEM grid resolution (e.g. 1m vs 5m), and Kalman filter update rates not stated.</t>
        </is>
      </c>
      <c r="L7" s="7" t="inlineStr">
        <is>
          <t>Core GNSS-denied navigation stack (Module 01 / Layer B).</t>
        </is>
      </c>
    </row>
    <row r="8" ht="42" customHeight="1">
      <c r="A8" s="2" t="inlineStr">
        <is>
          <t>DRAFT-F-007</t>
        </is>
      </c>
      <c r="B8" s="3" t="inlineStr">
        <is>
          <t>The system shall execute real-time flight stabilization, attitude control, and autonomous waypoint navigation commands via custom PX4 autopilot firmware executing on a dedicated bare-metal microcontroller.</t>
        </is>
      </c>
      <c r="C8" s="4" t="inlineStr">
        <is>
          <t>Functional</t>
        </is>
      </c>
      <c r="D8" s="3" t="inlineStr">
        <is>
          <t>Flight Control &amp; Autonomy</t>
        </is>
      </c>
      <c r="E8" s="3" t="inlineStr">
        <is>
          <t>REA-T1-OVERVIEW-2026-V1.0</t>
        </is>
      </c>
      <c r="F8" s="3" t="inlineStr">
        <is>
          <t>Section 5.2 (Stage 4), Section 6.1 (Layer 2), Section 8.3 (p. 6, 7, 9)</t>
        </is>
      </c>
      <c r="G8" s="3" t="inlineStr">
        <is>
          <t>PX4 real-time attitude control loops generate microsecond PWM motor speed commands and actuator servo release signals.</t>
        </is>
      </c>
      <c r="H8" s="4" t="inlineStr">
        <is>
          <t>Not Assigned</t>
        </is>
      </c>
      <c r="I8" s="4" t="inlineStr">
        <is>
          <t>Demonstration</t>
        </is>
      </c>
      <c r="J8" s="5" t="inlineStr">
        <is>
          <t>Proposed for Review</t>
        </is>
      </c>
      <c r="K8" s="3" t="inlineStr">
        <is>
          <t>Maximum operational bank angle, climb/descent rates, and autonomous fail-safe trajectory modes need formal specification in SSRD.</t>
        </is>
      </c>
      <c r="L8" s="3" t="inlineStr">
        <is>
          <t>Layer B and Layer 2 firmware execution.</t>
        </is>
      </c>
    </row>
    <row r="9" ht="42" customHeight="1">
      <c r="A9" s="6" t="inlineStr">
        <is>
          <t>DRAFT-F-008</t>
        </is>
      </c>
      <c r="B9" s="7" t="inlineStr">
        <is>
          <t>The system shall execute deep neural network inference directly on onboard heterogeneous computing hardware (GPU/NPU/DSP) to generate real-time pixel-level semantic segmentation masks of terrain and tactical obstacles.</t>
        </is>
      </c>
      <c r="C9" s="8" t="inlineStr">
        <is>
          <t>Functional</t>
        </is>
      </c>
      <c r="D9" s="7" t="inlineStr">
        <is>
          <t>Edge AI &amp; Vision</t>
        </is>
      </c>
      <c r="E9" s="7" t="inlineStr">
        <is>
          <t>REA-T1-OVERVIEW-2026-V1.0</t>
        </is>
      </c>
      <c r="F9" s="7" t="inlineStr">
        <is>
          <t>Section 2.2 (Obj 2), Section 6.3, Section 7 (Module 03) (p. 3, 7, 8)</t>
        </is>
      </c>
      <c r="G9" s="7" t="inlineStr">
        <is>
          <t>Executes zero-cloud, pixel-level semantic segmentation using PyTorch models exported to ONNX and compiled via TensorRT for INT8 quantization.</t>
        </is>
      </c>
      <c r="H9" s="8" t="inlineStr">
        <is>
          <t>Not Assigned</t>
        </is>
      </c>
      <c r="I9" s="8" t="inlineStr">
        <is>
          <t>Demonstration</t>
        </is>
      </c>
      <c r="J9" s="5" t="inlineStr">
        <is>
          <t>Proposed for Review</t>
        </is>
      </c>
      <c r="K9" s="7" t="inlineStr">
        <is>
          <t>Target semantic class taxonomy (e.g. roads, vehicles, tree cover, snow), target inference FPS, and minimum mIoU accuracy threshold undefined.</t>
        </is>
      </c>
      <c r="L9" s="7" t="inlineStr">
        <is>
          <t>Module 03 (EDGE-AI) and Layer F.</t>
        </is>
      </c>
    </row>
    <row r="10" ht="42" customHeight="1">
      <c r="A10" s="2" t="inlineStr">
        <is>
          <t>DRAFT-F-009</t>
        </is>
      </c>
      <c r="B10" s="3" t="inlineStr">
        <is>
          <t>The system shall perform comparative visual inference between live video frames and onboard historical terrain embeddings to automatically detect and flag tactical terrain alterations and infrastructure changes.</t>
        </is>
      </c>
      <c r="C10" s="4" t="inlineStr">
        <is>
          <t>Functional</t>
        </is>
      </c>
      <c r="D10" s="3" t="inlineStr">
        <is>
          <t>Edge AI &amp; Intelligence</t>
        </is>
      </c>
      <c r="E10" s="3" t="inlineStr">
        <is>
          <t>REA-T1-OVERVIEW-2026-V1.0</t>
        </is>
      </c>
      <c r="F10" s="3" t="inlineStr">
        <is>
          <t>Section 4 (Domain 1), Section 6.1 (Layer 4), Section 7 (Module 03) (p. 5, 7, 8)</t>
        </is>
      </c>
      <c r="G10" s="3" t="inlineStr">
        <is>
          <t>Temporal change detection CNNs / Siamese networks isolate infrastructure changes and terrain modifications directly on the airframe.</t>
        </is>
      </c>
      <c r="H10" s="4" t="inlineStr">
        <is>
          <t>Not Assigned</t>
        </is>
      </c>
      <c r="I10" s="4" t="inlineStr">
        <is>
          <t>Demonstration</t>
        </is>
      </c>
      <c r="J10" s="5" t="inlineStr">
        <is>
          <t>Proposed for Review</t>
        </is>
      </c>
      <c r="K10" s="3" t="inlineStr">
        <is>
          <t>Historical embedding resolution, geographical tiling structure, false alarm probability, and change confidence score thresholds not defined.</t>
        </is>
      </c>
      <c r="L10" s="3" t="inlineStr">
        <is>
          <t>Module 03 (EDGE-AI) and Layer F.</t>
        </is>
      </c>
    </row>
    <row r="11" ht="42" customHeight="1">
      <c r="A11" s="6" t="inlineStr">
        <is>
          <t>DRAFT-F-010</t>
        </is>
      </c>
      <c r="B11" s="7" t="inlineStr">
        <is>
          <t>The system shall execute neural super-resolution models on degraded optical and thermal video streams onboard to synthesize enhanced high-clarity intelligence imagery across smoke, dust, and haze.</t>
        </is>
      </c>
      <c r="C11" s="8" t="inlineStr">
        <is>
          <t>Functional</t>
        </is>
      </c>
      <c r="D11" s="7" t="inlineStr">
        <is>
          <t>Edge AI &amp; Vision</t>
        </is>
      </c>
      <c r="E11" s="7" t="inlineStr">
        <is>
          <t>REA-T1-OVERVIEW-2026-V1.0</t>
        </is>
      </c>
      <c r="F11" s="7" t="inlineStr">
        <is>
          <t>Section 4 (Domain 1), Section 7 (Module 03) (p. 5, 8)</t>
        </is>
      </c>
      <c r="G11" s="7" t="inlineStr">
        <is>
          <t>Module 03 generates super-resolved intelligence imagery directly on the airframe using optimized neural architectures.</t>
        </is>
      </c>
      <c r="H11" s="8" t="inlineStr">
        <is>
          <t>Not Assigned</t>
        </is>
      </c>
      <c r="I11" s="8" t="inlineStr">
        <is>
          <t>Demonstration</t>
        </is>
      </c>
      <c r="J11" s="5" t="inlineStr">
        <is>
          <t>Proposed for Review</t>
        </is>
      </c>
      <c r="K11" s="7" t="inlineStr">
        <is>
          <t>Upscaling factor (e.g. 2x, 4x), maximum per-frame latency budget, and output stream bitrate not quantified in source.</t>
        </is>
      </c>
      <c r="L11" s="7" t="inlineStr">
        <is>
          <t>Module 03 (EDGE-AI) and Layer F.</t>
        </is>
      </c>
    </row>
    <row r="12" ht="42" customHeight="1">
      <c r="A12" s="2" t="inlineStr">
        <is>
          <t>DRAFT-F-011</t>
        </is>
      </c>
      <c r="B12" s="3" t="inlineStr">
        <is>
          <t>The system shall monitor the radio frequency spectrum across 400 MHz to 6 GHz using a Software-Defined Radio (SDR) receiver to generate RF spectrum occupancy grids and extract hostile emitter signal characterization profiles.</t>
        </is>
      </c>
      <c r="C12" s="4" t="inlineStr">
        <is>
          <t>Functional</t>
        </is>
      </c>
      <c r="D12" s="3" t="inlineStr">
        <is>
          <t>Electromagnetic Warfare &amp; DSP</t>
        </is>
      </c>
      <c r="E12" s="3" t="inlineStr">
        <is>
          <t>REA-T1-OVERVIEW-2026-V1.0</t>
        </is>
      </c>
      <c r="F12" s="3" t="inlineStr">
        <is>
          <t>Section 4 (Domain 5), Section 7 (Module 04), Section 8.2 (p. 5, 8, 9)</t>
        </is>
      </c>
      <c r="G12" s="3" t="inlineStr">
        <is>
          <t>Module 04 detects hostile radio emissions, characterizes radar signatures, and outputs RF spectrum occupancy grids and emitter profiles.</t>
        </is>
      </c>
      <c r="H12" s="4" t="inlineStr">
        <is>
          <t>Not Assigned</t>
        </is>
      </c>
      <c r="I12" s="4" t="inlineStr">
        <is>
          <t>Test</t>
        </is>
      </c>
      <c r="J12" s="5" t="inlineStr">
        <is>
          <t>Proposed for Review</t>
        </is>
      </c>
      <c r="K12" s="3" t="inlineStr">
        <is>
          <t>Instantaneous capture bandwidth, sweep repetition interval, minimum detectable signal sensitivity (dBm), and signature library capacity not specified.</t>
        </is>
      </c>
      <c r="L12" s="3" t="inlineStr">
        <is>
          <t>Module 04 (EW-DSP) and Layer D.</t>
        </is>
      </c>
    </row>
    <row r="13" ht="42" customHeight="1">
      <c r="A13" s="6" t="inlineStr">
        <is>
          <t>DRAFT-F-012</t>
        </is>
      </c>
      <c r="B13" s="7" t="inlineStr">
        <is>
          <t>The system shall modulate and transmit mission intelligence, processed imagery, and platform telemetry to friendly optical ground terminals over a narrow-beam Free-Space Optical (FSO) directional laser link.</t>
        </is>
      </c>
      <c r="C13" s="8" t="inlineStr">
        <is>
          <t>Functional</t>
        </is>
      </c>
      <c r="D13" s="7" t="inlineStr">
        <is>
          <t>Communications</t>
        </is>
      </c>
      <c r="E13" s="7" t="inlineStr">
        <is>
          <t>REA-T1-OVERVIEW-2026-V1.0</t>
        </is>
      </c>
      <c r="F13" s="7" t="inlineStr">
        <is>
          <t>Section 2.2 (Obj 6), Section 7 (Module 05), Section 8.2 (p. 3, 8, 9)</t>
        </is>
      </c>
      <c r="G13" s="7" t="inlineStr">
        <is>
          <t>Module 05 deploys directional Free-Space Optical (FSO) laser communications for high-bandwidth, intercept-free data transit completely immune to RF jamming.</t>
        </is>
      </c>
      <c r="H13" s="8" t="inlineStr">
        <is>
          <t>Not Assigned</t>
        </is>
      </c>
      <c r="I13" s="8" t="inlineStr">
        <is>
          <t>Demonstration</t>
        </is>
      </c>
      <c r="J13" s="5" t="inlineStr">
        <is>
          <t>Proposed for Review</t>
        </is>
      </c>
      <c r="K13" s="7" t="inlineStr">
        <is>
          <t>Optical laser wavelength (e.g. 850nm / 1550nm), data throughput (Mbps/Gbps), maximum line-of-sight range, and beam divergence angle not specified.</t>
        </is>
      </c>
      <c r="L13" s="7" t="inlineStr">
        <is>
          <t>Module 05 (FSO-COMM) and Layer E.</t>
        </is>
      </c>
    </row>
    <row r="14" ht="42" customHeight="1">
      <c r="A14" s="2" t="inlineStr">
        <is>
          <t>DRAFT-F-013</t>
        </is>
      </c>
      <c r="B14" s="3" t="inlineStr">
        <is>
          <t>The system shall maintain closed-loop coarse-fine beam pointing, acquisition, and tracking (PAT) using gimbal coordinate offsets to sustain line-of-sight laser alignment with ground terminals under atmospheric wind shear.</t>
        </is>
      </c>
      <c r="C14" s="4" t="inlineStr">
        <is>
          <t>Functional</t>
        </is>
      </c>
      <c r="D14" s="3" t="inlineStr">
        <is>
          <t>Communications &amp; GNC</t>
        </is>
      </c>
      <c r="E14" s="3" t="inlineStr">
        <is>
          <t>REA-T1-OVERVIEW-2026-V1.0</t>
        </is>
      </c>
      <c r="F14" s="3" t="inlineStr">
        <is>
          <t>Section 5.2 (Stage 5), Section 8.2 (FSO Gimbal Interface) (p. 6, 9)</t>
        </is>
      </c>
      <c r="G14" s="3" t="inlineStr">
        <is>
          <t>RS-422 serial interface transmits high-rate gyro coordinate offsets to FSO gimbal tracking motors to ensure stable link under high wind shear.</t>
        </is>
      </c>
      <c r="H14" s="4" t="inlineStr">
        <is>
          <t>Not Assigned</t>
        </is>
      </c>
      <c r="I14" s="4" t="inlineStr">
        <is>
          <t>Demonstration</t>
        </is>
      </c>
      <c r="J14" s="5" t="inlineStr">
        <is>
          <t>Proposed for Review</t>
        </is>
      </c>
      <c r="K14" s="3" t="inlineStr">
        <is>
          <t>PAT acquisition latency, coarse/fine gimbal angular tracking rate (deg/sec), and maximum allowable tracking jitter (microradians) not defined.</t>
        </is>
      </c>
      <c r="L14" s="3" t="inlineStr">
        <is>
          <t>Module 05 (FSO-COMM) and Layer E.</t>
        </is>
      </c>
    </row>
    <row r="15" ht="42" customHeight="1">
      <c r="A15" s="6" t="inlineStr">
        <is>
          <t>DRAFT-F-014</t>
        </is>
      </c>
      <c r="B15" s="7" t="inlineStr">
        <is>
          <t>The system shall maintain a secondary frequency-hopping, cryptographically encrypted Software-Defined Radio (SDR) RF data link for telemetry, command, and fallback mission data transit when optical links are obscured.</t>
        </is>
      </c>
      <c r="C15" s="8" t="inlineStr">
        <is>
          <t>Functional</t>
        </is>
      </c>
      <c r="D15" s="7" t="inlineStr">
        <is>
          <t>Communications</t>
        </is>
      </c>
      <c r="E15" s="7" t="inlineStr">
        <is>
          <t>REA-T1-OVERVIEW-2026-V1.0</t>
        </is>
      </c>
      <c r="F15" s="7" t="inlineStr">
        <is>
          <t>Section 2.2 (Obj 6), Section 4 (Layer E), Section 7 (Module 05) (p. 3, 4, 8)</t>
        </is>
      </c>
      <c r="G15" s="7" t="inlineStr">
        <is>
          <t>Directional FSO laser link is backed by encrypted Software-Defined Radio (SDR) channels with automated fallback triggering.</t>
        </is>
      </c>
      <c r="H15" s="8" t="inlineStr">
        <is>
          <t>Not Assigned</t>
        </is>
      </c>
      <c r="I15" s="8" t="inlineStr">
        <is>
          <t>Demonstration</t>
        </is>
      </c>
      <c r="J15" s="5" t="inlineStr">
        <is>
          <t>Proposed for Review</t>
        </is>
      </c>
      <c r="K15" s="7" t="inlineStr">
        <is>
          <t>RF frequency bands, frequency hopping rate (hops/sec), RF transmit power (Watts), and failover switching hysteresis criteria not defined.</t>
        </is>
      </c>
      <c r="L15" s="7" t="inlineStr">
        <is>
          <t>Module 05 and Layer E.</t>
        </is>
      </c>
    </row>
    <row r="16" ht="42" customHeight="1">
      <c r="A16" s="2" t="inlineStr">
        <is>
          <t>DRAFT-F-015</t>
        </is>
      </c>
      <c r="B16" s="3" t="inlineStr">
        <is>
          <t>The system shall calculate instantaneous ballistic release timing based on real-time estimated local wind vectors, ground velocity, and radar altitude, and actuate the mechanical unlatching of the precision cargo drop pod.</t>
        </is>
      </c>
      <c r="C16" s="4" t="inlineStr">
        <is>
          <t>Functional</t>
        </is>
      </c>
      <c r="D16" s="3" t="inlineStr">
        <is>
          <t>Payload &amp; Effectors</t>
        </is>
      </c>
      <c r="E16" s="3" t="inlineStr">
        <is>
          <t>REA-T1-OVERVIEW-2026-V1.0</t>
        </is>
      </c>
      <c r="F16" s="3" t="inlineStr">
        <is>
          <t>Section 5.2 (Stage 4), Section 7 (Module 06), Section 8.2 (p. 6, 8, 9)</t>
        </is>
      </c>
      <c r="G16" s="3" t="inlineStr">
        <is>
          <t>Module 06 manages precision delivery of emergency logistic payloads, computing ballistic release timing and generating delivery verification logs.</t>
        </is>
      </c>
      <c r="H16" s="4" t="inlineStr">
        <is>
          <t>Not Assigned</t>
        </is>
      </c>
      <c r="I16" s="4" t="inlineStr">
        <is>
          <t>Demonstration</t>
        </is>
      </c>
      <c r="J16" s="5" t="inlineStr">
        <is>
          <t>Proposed for Review</t>
        </is>
      </c>
      <c r="K16" s="3" t="inlineStr">
        <is>
          <t>Cargo pod payload mass capacity, maximum release altitude, target delivery accuracy (CEP in meters), and mechanical unlatch timing not defined.</t>
        </is>
      </c>
      <c r="L16" s="3" t="inlineStr">
        <is>
          <t>Module 06 (PAYLOAD-POD) and Layer G.</t>
        </is>
      </c>
    </row>
    <row r="17" ht="42" customHeight="1">
      <c r="A17" s="6" t="inlineStr">
        <is>
          <t>DRAFT-F-016</t>
        </is>
      </c>
      <c r="B17" s="7" t="inlineStr">
        <is>
          <t>The system shall trigger irreversible hardware-level sanitization and cryptographic flash memory erasure upon detection of unauthorized physical airframe breach, anti-tamper sensor trip, or capture.</t>
        </is>
      </c>
      <c r="C17" s="8" t="inlineStr">
        <is>
          <t>Functional</t>
        </is>
      </c>
      <c r="D17" s="7" t="inlineStr">
        <is>
          <t>Cybersecurity &amp; Sovereignty</t>
        </is>
      </c>
      <c r="E17" s="7" t="inlineStr">
        <is>
          <t>REA-T1-OVERVIEW-2026-V1.0</t>
        </is>
      </c>
      <c r="F17" s="7" t="inlineStr">
        <is>
          <t>Section 2.2 (Obj 7), Section 4 (Layer H), Section 5.2 (Stage 6) (p. 3, 4, 6)</t>
        </is>
      </c>
      <c r="G17" s="7" t="inlineStr">
        <is>
          <t>Layer H guarantees cryptographic execution and triggers zero-trace physical/flash memory erasure upon tamper or capture detection.</t>
        </is>
      </c>
      <c r="H17" s="8" t="inlineStr">
        <is>
          <t>Not Assigned</t>
        </is>
      </c>
      <c r="I17" s="8" t="inlineStr">
        <is>
          <t>Test</t>
        </is>
      </c>
      <c r="J17" s="5" t="inlineStr">
        <is>
          <t>Proposed for Review</t>
        </is>
      </c>
      <c r="K17" s="7" t="inlineStr">
        <is>
          <t>Sanitization completion time budget (e.g. &lt;500 ms) and anti-tamper switch electrical trigger threshold not specified.</t>
        </is>
      </c>
      <c r="L17" s="7" t="inlineStr">
        <is>
          <t>Layer H (Cybersecurity &amp; Data Sovereignty).</t>
        </is>
      </c>
    </row>
    <row r="18" ht="42" customHeight="1">
      <c r="A18" s="2" t="inlineStr">
        <is>
          <t>DRAFT-P-001</t>
        </is>
      </c>
      <c r="B18" s="3" t="inlineStr">
        <is>
          <t>The system shall sustain an inner-loop communication latency of less than 1 millisecond between the real flight controller and edge compute boards during hardware-in-the-loop (HIL) real-time sensor execution.</t>
        </is>
      </c>
      <c r="C18" s="4" t="inlineStr">
        <is>
          <t>Performance</t>
        </is>
      </c>
      <c r="D18" s="3" t="inlineStr">
        <is>
          <t>Avionics &amp; Middleware Timing</t>
        </is>
      </c>
      <c r="E18" s="3" t="inlineStr">
        <is>
          <t>REA-T1-OVERVIEW-2026-V1.0</t>
        </is>
      </c>
      <c r="F18" s="3" t="inlineStr">
        <is>
          <t>Section 10.1 (Tier 3 Success Criteria) (p. 11)</t>
        </is>
      </c>
      <c r="G18" s="3" t="inlineStr">
        <is>
          <t>Tier 3 validation explicitly establishes 'Inner-loop latency under 1 millisecond' as mandatory success criteria for HIL bench testing.</t>
        </is>
      </c>
      <c r="H18" s="4" t="inlineStr">
        <is>
          <t>Not Assigned</t>
        </is>
      </c>
      <c r="I18" s="4" t="inlineStr">
        <is>
          <t>Test</t>
        </is>
      </c>
      <c r="J18" s="5" t="inlineStr">
        <is>
          <t>Proposed for Review</t>
        </is>
      </c>
      <c r="K18" s="3" t="inlineStr">
        <is>
          <t>Latency jitter tolerance, packet drop limits, and benchmark communication bus (UART vs Ethernet) over Micro-XRCE-DDS need formal test protocol.</t>
        </is>
      </c>
      <c r="L18" s="3" t="inlineStr">
        <is>
          <t>Numerical threshold explicitly defined in source document.</t>
        </is>
      </c>
    </row>
    <row r="19" ht="42" customHeight="1">
      <c r="A19" s="6" t="inlineStr">
        <is>
          <t>DRAFT-P-002</t>
        </is>
      </c>
      <c r="B19" s="7" t="inlineStr">
        <is>
          <t>The system electronics, avionics, propulsion motors, and battery management circuits shall maintain uninterrupted operation under ambient environmental temperatures down to -20°C and low ambient pressure exposure.</t>
        </is>
      </c>
      <c r="C19" s="8" t="inlineStr">
        <is>
          <t>Performance</t>
        </is>
      </c>
      <c r="D19" s="7" t="inlineStr">
        <is>
          <t>Environmental &amp; Thermal</t>
        </is>
      </c>
      <c r="E19" s="7" t="inlineStr">
        <is>
          <t>REA-T1-OVERVIEW-2026-V1.0</t>
        </is>
      </c>
      <c r="F19" s="7" t="inlineStr">
        <is>
          <t>Section 9.2 (Milestone 2), Section 10.1 (Tier 5) (p. 10, 11)</t>
        </is>
      </c>
      <c r="G19" s="7" t="inlineStr">
        <is>
          <t>Milestone 2 mandates thermal profiling down to -20°C; Tier 5 mandates uninterrupted electronics operation under -20°C and low pressure exposure.</t>
        </is>
      </c>
      <c r="H19" s="8" t="inlineStr">
        <is>
          <t>Not Assigned</t>
        </is>
      </c>
      <c r="I19" s="8" t="inlineStr">
        <is>
          <t>Test</t>
        </is>
      </c>
      <c r="J19" s="5" t="inlineStr">
        <is>
          <t>Proposed for Review</t>
        </is>
      </c>
      <c r="K19" s="7" t="inlineStr">
        <is>
          <t>Maximum operating temperature (+50°C?), continuous operating duration at -20°C, and battery discharge retention percentage at -20°C not specified.</t>
        </is>
      </c>
      <c r="L19" s="7" t="inlineStr">
        <is>
          <t>Numerical threshold explicitly defined in source document.</t>
        </is>
      </c>
    </row>
    <row r="20" ht="42" customHeight="1">
      <c r="A20" s="2" t="inlineStr">
        <is>
          <t>DRAFT-P-003</t>
        </is>
      </c>
      <c r="B20" s="3" t="inlineStr">
        <is>
          <t>The system Software-Defined Radio (SDR) subsystem shall continuously cover the wideband radio frequency spectrum across the range of 400 MHz to 6 GHz.</t>
        </is>
      </c>
      <c r="C20" s="4" t="inlineStr">
        <is>
          <t>Performance</t>
        </is>
      </c>
      <c r="D20" s="3" t="inlineStr">
        <is>
          <t>RF &amp; Electronic Warfare</t>
        </is>
      </c>
      <c r="E20" s="3" t="inlineStr">
        <is>
          <t>REA-T1-OVERVIEW-2026-V1.0</t>
        </is>
      </c>
      <c r="F20" s="3" t="inlineStr">
        <is>
          <t>Section 7 (Module 04 Inputs) (p. 8)</t>
        </is>
      </c>
      <c r="G20" s="3" t="inlineStr">
        <is>
          <t>Module 04 explicitly specifies input as 'Wideband SDR RF antenna inputs (400 MHz to 6 GHz)'.</t>
        </is>
      </c>
      <c r="H20" s="4" t="inlineStr">
        <is>
          <t>Not Assigned</t>
        </is>
      </c>
      <c r="I20" s="4" t="inlineStr">
        <is>
          <t>Test</t>
        </is>
      </c>
      <c r="J20" s="5" t="inlineStr">
        <is>
          <t>Proposed for Review</t>
        </is>
      </c>
      <c r="K20" s="3" t="inlineStr">
        <is>
          <t>Tuning step size, instantaneous FFT bandwidth, noise figure, and dynamic range across the 400 MHz–6 GHz band not specified.</t>
        </is>
      </c>
      <c r="L20" s="3" t="inlineStr">
        <is>
          <t>Numerical range explicitly defined in source document.</t>
        </is>
      </c>
    </row>
    <row r="21" ht="42" customHeight="1">
      <c r="A21" s="6" t="inlineStr">
        <is>
          <t>DRAFT-P-004</t>
        </is>
      </c>
      <c r="B21" s="7" t="inlineStr">
        <is>
          <t>The system shall sustain sub-meter navigational drift bounds when operating exclusively on Visual-Inertial Odometry (VIO) and DEM terrain matching during deliberate GNSS-denied flight test trials.</t>
        </is>
      </c>
      <c r="C21" s="8" t="inlineStr">
        <is>
          <t>Performance</t>
        </is>
      </c>
      <c r="D21" s="7" t="inlineStr">
        <is>
          <t>Navigation &amp; Guidance</t>
        </is>
      </c>
      <c r="E21" s="7" t="inlineStr">
        <is>
          <t>REA-T1-OVERVIEW-2026-V1.0</t>
        </is>
      </c>
      <c r="F21" s="7" t="inlineStr">
        <is>
          <t>Section 10.1 (Tier 8 Success Criteria) (p. 11)</t>
        </is>
      </c>
      <c r="G21" s="7" t="inlineStr">
        <is>
          <t>Tier 8 GNSS-Denied Testing explicitly specifies 'Sub-meter drift bounds sustained' as the success criteria.</t>
        </is>
      </c>
      <c r="H21" s="8" t="inlineStr">
        <is>
          <t>Not Assigned</t>
        </is>
      </c>
      <c r="I21" s="8" t="inlineStr">
        <is>
          <t>Test</t>
        </is>
      </c>
      <c r="J21" s="9" t="inlineStr">
        <is>
          <t>Pending Clarification</t>
        </is>
      </c>
      <c r="K21" s="7" t="inlineStr">
        <is>
          <t>Clarification required on whether 'sub-meter' applies per unit time (e.g. per minute), per flight distance (e.g. per km flown), or total closed-loop mission CEP.</t>
        </is>
      </c>
      <c r="L21" s="7" t="inlineStr">
        <is>
          <t>Recorded as Assumption ASM-ENG-004 in Task 1 Project Scope Baseline.</t>
        </is>
      </c>
    </row>
    <row r="22" ht="42" customHeight="1">
      <c r="A22" s="2" t="inlineStr">
        <is>
          <t>DRAFT-P-005</t>
        </is>
      </c>
      <c r="B22" s="3" t="inlineStr">
        <is>
          <t>The multi-lane MIPI-CSI Gen3 camera ingress interface shall transfer raw YUV, RGB, and 14-bit thermal video frames directly into edge compute memory via DMA with zero frame drops.</t>
        </is>
      </c>
      <c r="C22" s="4" t="inlineStr">
        <is>
          <t>Performance</t>
        </is>
      </c>
      <c r="D22" s="3" t="inlineStr">
        <is>
          <t>Perception &amp; Compute Throughput</t>
        </is>
      </c>
      <c r="E22" s="3" t="inlineStr">
        <is>
          <t>REA-T1-OVERVIEW-2026-V1.0</t>
        </is>
      </c>
      <c r="F22" s="3" t="inlineStr">
        <is>
          <t>Section 8.2 (Interface: Vision to Edge AI) (p. 9)</t>
        </is>
      </c>
      <c r="G22" s="3" t="inlineStr">
        <is>
          <t>Interface specification mandates 'DMA Direct Memory Access bypassing host CPU overhead; zero frame drop buffer'.</t>
        </is>
      </c>
      <c r="H22" s="4" t="inlineStr">
        <is>
          <t>Not Assigned</t>
        </is>
      </c>
      <c r="I22" s="4" t="inlineStr">
        <is>
          <t>Test</t>
        </is>
      </c>
      <c r="J22" s="5" t="inlineStr">
        <is>
          <t>Proposed for Review</t>
        </is>
      </c>
      <c r="K22" s="3" t="inlineStr">
        <is>
          <t>DMA FIFO ring buffer depth (number of frames) and maximum memory bus contention threshold under full sensor load not stated.</t>
        </is>
      </c>
      <c r="L22" s="3" t="inlineStr">
        <is>
          <t>Critical high-throughput hardware interface protocol.</t>
        </is>
      </c>
    </row>
    <row r="23" ht="42" customHeight="1">
      <c r="A23" s="6" t="inlineStr">
        <is>
          <t>DRAFT-P-006</t>
        </is>
      </c>
      <c r="B23" s="7" t="inlineStr">
        <is>
          <t>The real-time flight control subsystem shall execute inner attitude stabilization loops and sensor bus management on dedicated 32-bit automotive/aerospace microcontrollers (STM32 series).</t>
        </is>
      </c>
      <c r="C23" s="8" t="inlineStr">
        <is>
          <t>Performance</t>
        </is>
      </c>
      <c r="D23" s="7" t="inlineStr">
        <is>
          <t>Embedded Avionics Hardware</t>
        </is>
      </c>
      <c r="E23" s="7" t="inlineStr">
        <is>
          <t>REA-T1-OVERVIEW-2026-V1.0</t>
        </is>
      </c>
      <c r="F23" s="7" t="inlineStr">
        <is>
          <t>Section 4 (Domain 4), Section 6.2 (p. 5, 7)</t>
        </is>
      </c>
      <c r="G23" s="7" t="inlineStr">
        <is>
          <t>Hardware layer explicitly designates 'Dedicated 32-bit automotive/aerospace microcontrollers managing low-latency inner attitude loops'.</t>
        </is>
      </c>
      <c r="H23" s="8" t="inlineStr">
        <is>
          <t>Not Assigned</t>
        </is>
      </c>
      <c r="I23" s="8" t="inlineStr">
        <is>
          <t>Inspection</t>
        </is>
      </c>
      <c r="J23" s="5" t="inlineStr">
        <is>
          <t>Proposed for Review</t>
        </is>
      </c>
      <c r="K23" s="7" t="inlineStr">
        <is>
          <t>Specific microcontroller part number (e.g. STM32H753), core operating clock frequency, and memory capacity not defined.</t>
        </is>
      </c>
      <c r="L23" s="7" t="inlineStr">
        <is>
          <t>Baseline embedded processor architecture.</t>
        </is>
      </c>
    </row>
    <row r="24" ht="42" customHeight="1">
      <c r="A24" s="2" t="inlineStr">
        <is>
          <t>DRAFT-P-007</t>
        </is>
      </c>
      <c r="B24" s="3" t="inlineStr">
        <is>
          <t>The system shall satisfy tactical flight envelope performance thresholds for maximum takeoff weight (MTOW), payload capacity, endurance, operating ceiling, and wind resistance in high-altitude mountain theaters.</t>
        </is>
      </c>
      <c r="C24" s="4" t="inlineStr">
        <is>
          <t>Performance</t>
        </is>
      </c>
      <c r="D24" s="3" t="inlineStr">
        <is>
          <t>Aerodynamics &amp; Flight Envelope</t>
        </is>
      </c>
      <c r="E24" s="3" t="inlineStr">
        <is>
          <t>REA-T1-OVERVIEW-2026-V1.0 &amp; P01_Project_Scope_Baseline.md</t>
        </is>
      </c>
      <c r="F24" s="3" t="inlineStr">
        <is>
          <t>Section 1.4, Section 2.1 (p. 2, 3); Scope Baseline Sec 10, 12</t>
        </is>
      </c>
      <c r="G24" s="3" t="inlineStr">
        <is>
          <t>Platform is engineered for Ladakh and Siachen mountain frontiers, but specific numerical aerodynamic thresholds are omitted from overview.</t>
        </is>
      </c>
      <c r="H24" s="4" t="inlineStr">
        <is>
          <t>Not Assigned</t>
        </is>
      </c>
      <c r="I24" s="4" t="inlineStr">
        <is>
          <t>Test</t>
        </is>
      </c>
      <c r="J24" s="9" t="inlineStr">
        <is>
          <t>Pending Clarification</t>
        </is>
      </c>
      <c r="K24" s="3" t="inlineStr">
        <is>
          <t>Numerical values for MTOW (kg), payload mass (kg), flight endurance (hours), service ceiling (m AMSL), and wind shear resistance (knots) must be provided from master proposal.</t>
        </is>
      </c>
      <c r="L24" s="3" t="inlineStr">
        <is>
          <t>Recorded as Open Question QUE-SCP-002 and Assumption ASM-ENG-002.</t>
        </is>
      </c>
    </row>
    <row r="25" ht="42" customHeight="1">
      <c r="A25" s="6" t="inlineStr">
        <is>
          <t>DRAFT-P-008</t>
        </is>
      </c>
      <c r="B25" s="7" t="inlineStr">
        <is>
          <t>The onboard neural network models for semantic segmentation, temporal change detection, and super-resolution shall be compiled and executed using INT8 post-training quantization via NVIDIA TensorRT.</t>
        </is>
      </c>
      <c r="C25" s="8" t="inlineStr">
        <is>
          <t>Performance</t>
        </is>
      </c>
      <c r="D25" s="7" t="inlineStr">
        <is>
          <t>Edge AI Optimization</t>
        </is>
      </c>
      <c r="E25" s="7" t="inlineStr">
        <is>
          <t>REA-T1-OVERVIEW-2026-V1.0</t>
        </is>
      </c>
      <c r="F25" s="7" t="inlineStr">
        <is>
          <t>Section 5.2 (Stage 3), Section 6.3 (p. 6, 7)</t>
        </is>
      </c>
      <c r="G25" s="7" t="inlineStr">
        <is>
          <t>Software stack mandates PyTorch pipeline exported to ONNX and compiled via NVIDIA TensorRT for INT8 post-training quantization.</t>
        </is>
      </c>
      <c r="H25" s="8" t="inlineStr">
        <is>
          <t>Not Assigned</t>
        </is>
      </c>
      <c r="I25" s="8" t="inlineStr">
        <is>
          <t>Analysis</t>
        </is>
      </c>
      <c r="J25" s="5" t="inlineStr">
        <is>
          <t>Proposed for Review</t>
        </is>
      </c>
      <c r="K25" s="7" t="inlineStr">
        <is>
          <t>Maximum allowable neural accuracy degradation percentage resulting from INT8 quantization vs FP32 baseline not stated.</t>
        </is>
      </c>
      <c r="L25" s="7" t="inlineStr">
        <is>
          <t>Defines computational optimization format for edge AI engines.</t>
        </is>
      </c>
    </row>
    <row r="26" ht="42" customHeight="1">
      <c r="A26" s="2" t="inlineStr">
        <is>
          <t>DRAFT-S-001</t>
        </is>
      </c>
      <c r="B26" s="3" t="inlineStr">
        <is>
          <t>The system shall execute the PX4 flight stabilization stack on a dedicated bare-metal microcontroller physically and electrically isolated from the Linux edge compute operating system.</t>
        </is>
      </c>
      <c r="C26" s="4" t="inlineStr">
        <is>
          <t>Safety</t>
        </is>
      </c>
      <c r="D26" s="3" t="inlineStr">
        <is>
          <t>Architectural Isolation &amp; Airworthiness</t>
        </is>
      </c>
      <c r="E26" s="3" t="inlineStr">
        <is>
          <t>REA-T1-OVERVIEW-2026-V1.0</t>
        </is>
      </c>
      <c r="F26" s="3" t="inlineStr">
        <is>
          <t>Section 8.3 (Asynchronous Thread Isolation) (p. 9)</t>
        </is>
      </c>
      <c r="G26" s="3" t="inlineStr">
        <is>
          <t>The PX4 flight stabilization stack executes on a dedicated bare-metal microcontroller independent of the Linux edge compute operating system.</t>
        </is>
      </c>
      <c r="H26" s="4" t="inlineStr">
        <is>
          <t>Not Assigned</t>
        </is>
      </c>
      <c r="I26" s="4" t="inlineStr">
        <is>
          <t>Inspection</t>
        </is>
      </c>
      <c r="J26" s="5" t="inlineStr">
        <is>
          <t>Proposed for Review</t>
        </is>
      </c>
      <c r="K26" s="3" t="inlineStr">
        <is>
          <t>None. Confirmed architectural requirement.</t>
        </is>
      </c>
      <c r="L26" s="3" t="inlineStr">
        <is>
          <t>Guarantees that high-level AI faults or kernel crashes cannot compromise core flight safety.</t>
        </is>
      </c>
    </row>
    <row r="27" ht="42" customHeight="1">
      <c r="A27" s="6" t="inlineStr">
        <is>
          <t>DRAFT-S-002</t>
        </is>
      </c>
      <c r="B27" s="7" t="inlineStr">
        <is>
          <t>The system flight controller shall autonomously maintain mission execution, waypoint navigation, attitude hold, or return-to-home (RTH) without degradation in the event of an edge AI process exception, crash, or memory thrashing.</t>
        </is>
      </c>
      <c r="C27" s="8" t="inlineStr">
        <is>
          <t>Safety</t>
        </is>
      </c>
      <c r="D27" s="7" t="inlineStr">
        <is>
          <t>Failsafe &amp; Fault Tolerance</t>
        </is>
      </c>
      <c r="E27" s="7" t="inlineStr">
        <is>
          <t>REA-T1-OVERVIEW-2026-V1.0</t>
        </is>
      </c>
      <c r="F27" s="7" t="inlineStr">
        <is>
          <t>Section 8.3 (Zero-Overhead Watchdog) (p. 9)</t>
        </is>
      </c>
      <c r="G27" s="7" t="inlineStr">
        <is>
          <t>If an edge AI model experiences an exception or memory thrashing, the primary autopilot continues mission execution, waypoint navigation, or return-to-home without degradation.</t>
        </is>
      </c>
      <c r="H27" s="8" t="inlineStr">
        <is>
          <t>Not Assigned</t>
        </is>
      </c>
      <c r="I27" s="8" t="inlineStr">
        <is>
          <t>Test</t>
        </is>
      </c>
      <c r="J27" s="5" t="inlineStr">
        <is>
          <t>Proposed for Review</t>
        </is>
      </c>
      <c r="K27" s="7" t="inlineStr">
        <is>
          <t>Autopilot heartbeat timeout duration (milliseconds) before declaring edge compute link loss needs formal confirmation.</t>
        </is>
      </c>
      <c r="L27" s="7" t="inlineStr">
        <is>
          <t>Critical fail-safe architectural isolation protocol.</t>
        </is>
      </c>
    </row>
    <row r="28" ht="42" customHeight="1">
      <c r="A28" s="2" t="inlineStr">
        <is>
          <t>DRAFT-S-003</t>
        </is>
      </c>
      <c r="B28" s="3" t="inlineStr">
        <is>
          <t>The system shall interlock cargo drop mechanisms and authorized payload actuation circuits via opto-isolated solid-state I/O requiring dual-redundant discrete logic signals to prevent uncommanded release during boot or fault states.</t>
        </is>
      </c>
      <c r="C28" s="4" t="inlineStr">
        <is>
          <t>Safety</t>
        </is>
      </c>
      <c r="D28" s="3" t="inlineStr">
        <is>
          <t>Effector &amp; Payload Interlocking</t>
        </is>
      </c>
      <c r="E28" s="3" t="inlineStr">
        <is>
          <t>REA-T1-OVERVIEW-2026-V1.0</t>
        </is>
      </c>
      <c r="F28" s="3" t="inlineStr">
        <is>
          <t>Section 8.2, Section 8.3 (p. 9)</t>
        </is>
      </c>
      <c r="G28" s="3" t="inlineStr">
        <is>
          <t>Table 8.2 mandates 'Dual-Redundant Discrete Logic Signals' and 'Hardware interlock preventing uncommanded release during boot or fault conditions'.</t>
        </is>
      </c>
      <c r="H28" s="4" t="inlineStr">
        <is>
          <t>Not Assigned</t>
        </is>
      </c>
      <c r="I28" s="4" t="inlineStr">
        <is>
          <t>Test</t>
        </is>
      </c>
      <c r="J28" s="5" t="inlineStr">
        <is>
          <t>Proposed for Review</t>
        </is>
      </c>
      <c r="K28" s="3" t="inlineStr">
        <is>
          <t>Logic voltage levels, arming state sequence, and hardware reset default state need formal definition in Interface Control Document (ICD).</t>
        </is>
      </c>
      <c r="L28" s="3" t="inlineStr">
        <is>
          <t>Module 06 and Layer G safety control.</t>
        </is>
      </c>
    </row>
    <row r="29" ht="42" customHeight="1">
      <c r="A29" s="6" t="inlineStr">
        <is>
          <t>DRAFT-S-004</t>
        </is>
      </c>
      <c r="B29" s="7" t="inlineStr">
        <is>
          <t>The flight control system shall continuously monitor hardware watchdog heartbeats from the edge compute module over UART/Ethernet and automatically execute internal failsafe procedures upon link loss.</t>
        </is>
      </c>
      <c r="C29" s="8" t="inlineStr">
        <is>
          <t>Safety</t>
        </is>
      </c>
      <c r="D29" s="7" t="inlineStr">
        <is>
          <t>Communication Failsafe</t>
        </is>
      </c>
      <c r="E29" s="7" t="inlineStr">
        <is>
          <t>REA-T1-OVERVIEW-2026-V1.0</t>
        </is>
      </c>
      <c r="F29" s="7" t="inlineStr">
        <is>
          <t>Section 8.2 (Autopilot to Compute Interface) (p. 9)</t>
        </is>
      </c>
      <c r="G29" s="7" t="inlineStr">
        <is>
          <t>Table 8.2 specifies 'Hardware watchdog heartbeats; automatic fallback to internal failsafe on link loss'.</t>
        </is>
      </c>
      <c r="H29" s="8" t="inlineStr">
        <is>
          <t>Not Assigned</t>
        </is>
      </c>
      <c r="I29" s="8" t="inlineStr">
        <is>
          <t>Test</t>
        </is>
      </c>
      <c r="J29" s="5" t="inlineStr">
        <is>
          <t>Proposed for Review</t>
        </is>
      </c>
      <c r="K29" s="7" t="inlineStr">
        <is>
          <t>Specific sequence of internal failsafe actions (hover in place vs dead-reckoning RTH vs controlled landing) not specified in source.</t>
        </is>
      </c>
      <c r="L29" s="7" t="inlineStr">
        <is>
          <t>Prevents loss of control if inter-processor communication drops.</t>
        </is>
      </c>
    </row>
    <row r="30" ht="42" customHeight="1">
      <c r="A30" s="2" t="inlineStr">
        <is>
          <t>DRAFT-S-005</t>
        </is>
      </c>
      <c r="B30" s="3" t="inlineStr">
        <is>
          <t>The system shall physically isolate Software-Defined Radio (SDR) RF ingress circuits from flight motor lines and ESC power electronics using strict electromagnetic interference (EMI) gaskets and shielding.</t>
        </is>
      </c>
      <c r="C30" s="4" t="inlineStr">
        <is>
          <t>Safety</t>
        </is>
      </c>
      <c r="D30" s="3" t="inlineStr">
        <is>
          <t>EMI / EMC Isolation</t>
        </is>
      </c>
      <c r="E30" s="3" t="inlineStr">
        <is>
          <t>REA-T1-OVERVIEW-2026-V1.0</t>
        </is>
      </c>
      <c r="F30" s="3" t="inlineStr">
        <is>
          <t>Section 8.2 (SDR RF Ingress Interface) (p. 9)</t>
        </is>
      </c>
      <c r="G30" s="3" t="inlineStr">
        <is>
          <t>Table 8.2 specifies 'Strict RF shielding (EMI gaskets) isolating RF circuits from flight motor lines'.</t>
        </is>
      </c>
      <c r="H30" s="4" t="inlineStr">
        <is>
          <t>Not Assigned</t>
        </is>
      </c>
      <c r="I30" s="4" t="inlineStr">
        <is>
          <t>Inspection</t>
        </is>
      </c>
      <c r="J30" s="5" t="inlineStr">
        <is>
          <t>Proposed for Review</t>
        </is>
      </c>
      <c r="K30" s="3" t="inlineStr">
        <is>
          <t>Target shielding attenuation (dB) and applicable military EMC standard (e.g. MIL-STD-461) not specified in overview.</t>
        </is>
      </c>
      <c r="L30" s="3" t="inlineStr">
        <is>
          <t>Prevents high-current propulsion switching noise from blinding RF receivers.</t>
        </is>
      </c>
    </row>
    <row r="31" ht="42" customHeight="1">
      <c r="A31" s="6" t="inlineStr">
        <is>
          <t>DRAFT-S-006</t>
        </is>
      </c>
      <c r="B31" s="7" t="inlineStr">
        <is>
          <t>The system edge compute software architecture shall restrict all inter-process communications to local shared memory (POSIX shm) or loopback Unix domain sockets, enforcing physical and logical prohibitions against unvetted external network bridging.</t>
        </is>
      </c>
      <c r="C31" s="8" t="inlineStr">
        <is>
          <t>Safety</t>
        </is>
      </c>
      <c r="D31" s="7" t="inlineStr">
        <is>
          <t>Cyber-Physical Network Isolation</t>
        </is>
      </c>
      <c r="E31" s="7" t="inlineStr">
        <is>
          <t>REA-T1-OVERVIEW-2026-V1.0</t>
        </is>
      </c>
      <c r="F31" s="7" t="inlineStr">
        <is>
          <t>Section 8.3 (Air-Gapped Local Network) (p. 9)</t>
        </is>
      </c>
      <c r="G31" s="7" t="inlineStr">
        <is>
          <t>Specifies 'All inter-process communication occurs over local shared memory (POSIX shm) or loopback Unix sockets, with physical and logical prohibitions against unvetted external connections'.</t>
        </is>
      </c>
      <c r="H31" s="8" t="inlineStr">
        <is>
          <t>Not Assigned</t>
        </is>
      </c>
      <c r="I31" s="8" t="inlineStr">
        <is>
          <t>Inspection</t>
        </is>
      </c>
      <c r="J31" s="5" t="inlineStr">
        <is>
          <t>Proposed for Review</t>
        </is>
      </c>
      <c r="K31" s="7" t="inlineStr">
        <is>
          <t>None. Confirmed architectural requirement.</t>
        </is>
      </c>
      <c r="L31" s="7" t="inlineStr">
        <is>
          <t>Protects avionics and AI models from remote network ingress and data exfiltration.</t>
        </is>
      </c>
    </row>
    <row r="32" ht="42" customHeight="1">
      <c r="A32" s="2" t="inlineStr">
        <is>
          <t>DRAFT-S-007</t>
        </is>
      </c>
      <c r="B32" s="3" t="inlineStr">
        <is>
          <t>No system software module or hardware subsystem shall progress to physical flight testing without documented testbench validation logs and formal stage gate sign-off across preceding tiers of the 10-Tier Validation Ladder.</t>
        </is>
      </c>
      <c r="C32" s="4" t="inlineStr">
        <is>
          <t>Safety</t>
        </is>
      </c>
      <c r="D32" s="3" t="inlineStr">
        <is>
          <t>Verification &amp; Process Governance</t>
        </is>
      </c>
      <c r="E32" s="3" t="inlineStr">
        <is>
          <t>REA-T1-OVERVIEW-2026-V1.0</t>
        </is>
      </c>
      <c r="F32" s="3" t="inlineStr">
        <is>
          <t>Section 10.1, Section 10.2 (p. 11)</t>
        </is>
      </c>
      <c r="G32" s="3" t="inlineStr">
        <is>
          <t>Mandates 'Verification Before Progression: No subsystem enters flight testing without validated testbench logs and formal gate sign-offs.'</t>
        </is>
      </c>
      <c r="H32" s="4" t="inlineStr">
        <is>
          <t>Not Assigned</t>
        </is>
      </c>
      <c r="I32" s="4" t="inlineStr">
        <is>
          <t>Inspection</t>
        </is>
      </c>
      <c r="J32" s="5" t="inlineStr">
        <is>
          <t>Proposed for Review</t>
        </is>
      </c>
      <c r="K32" s="3" t="inlineStr">
        <is>
          <t>Stage gate review authority committee composition and sign-off criteria for Tiers 1–5 need formal definition in project QA plan.</t>
        </is>
      </c>
      <c r="L32" s="3" t="inlineStr">
        <is>
          <t>Prevents untested software or hardware from flying on physical airframes.</t>
        </is>
      </c>
    </row>
    <row r="33" ht="42" customHeight="1">
      <c r="A33" s="6" t="inlineStr">
        <is>
          <t>DRAFT-D-001</t>
        </is>
      </c>
      <c r="B33" s="7" t="inlineStr">
        <is>
          <t>The engineering team shall author, baseline, and freeze a formal System Requirements Specification (SRS) governing all 20 frozen capabilities prior to the completion of Milestone 1 (Month 4).</t>
        </is>
      </c>
      <c r="C33" s="8" t="inlineStr">
        <is>
          <t>Documentation</t>
        </is>
      </c>
      <c r="D33" s="7" t="inlineStr">
        <is>
          <t>Requirements Engineering</t>
        </is>
      </c>
      <c r="E33" s="7" t="inlineStr">
        <is>
          <t>REA-T1-OVERVIEW-2026-V1.0</t>
        </is>
      </c>
      <c r="F33" s="7" t="inlineStr">
        <is>
          <t>Section 9.2 (Milestone 1 Activities) (p. 10)</t>
        </is>
      </c>
      <c r="G33" s="7" t="inlineStr">
        <is>
          <t>Milestone 1 mandates 'Freeze System Requirements Specification (SRS)' across Months 1–4.</t>
        </is>
      </c>
      <c r="H33" s="8" t="inlineStr">
        <is>
          <t>Not Assigned</t>
        </is>
      </c>
      <c r="I33" s="8" t="inlineStr">
        <is>
          <t>Inspection</t>
        </is>
      </c>
      <c r="J33" s="5" t="inlineStr">
        <is>
          <t>Proposed for Review</t>
        </is>
      </c>
      <c r="K33" s="7" t="inlineStr">
        <is>
          <t>SRS structure standard (e.g. ISO/IEC/IEEE 29148) and formal customer approval timeline not stated.</t>
        </is>
      </c>
      <c r="L33" s="7" t="inlineStr">
        <is>
          <t>Governs transition from Milestone 1 to Milestone 2.</t>
        </is>
      </c>
    </row>
    <row r="34" ht="42" customHeight="1">
      <c r="A34" s="2" t="inlineStr">
        <is>
          <t>DRAFT-D-002</t>
        </is>
      </c>
      <c r="B34" s="3" t="inlineStr">
        <is>
          <t>Every software module, hardware component specification, and verification test case shall maintain bidirectional traceability mapped directly to the frozen iDEX contract deliverables (D1 through D20).</t>
        </is>
      </c>
      <c r="C34" s="4" t="inlineStr">
        <is>
          <t>Documentation</t>
        </is>
      </c>
      <c r="D34" s="3" t="inlineStr">
        <is>
          <t>Traceability &amp; Compliance</t>
        </is>
      </c>
      <c r="E34" s="3" t="inlineStr">
        <is>
          <t>REA-T1-OVERVIEW-2026-V1.0</t>
        </is>
      </c>
      <c r="F34" s="3" t="inlineStr">
        <is>
          <t>Section 10.2 (Requirement Traceability) (p. 11)</t>
        </is>
      </c>
      <c r="G34" s="3" t="inlineStr">
        <is>
          <t>Explicitly mandates 'Requirement Traceability: Every software module and hardware spec maps directly to frozen iDEX deliverables (D1 through D20).'</t>
        </is>
      </c>
      <c r="H34" s="4" t="inlineStr">
        <is>
          <t>Not Assigned</t>
        </is>
      </c>
      <c r="I34" s="4" t="inlineStr">
        <is>
          <t>Inspection</t>
        </is>
      </c>
      <c r="J34" s="9" t="inlineStr">
        <is>
          <t>Pending Clarification</t>
        </is>
      </c>
      <c r="K34" s="3" t="inlineStr">
        <is>
          <t>The itemized list of 20 deliverables (D1 through D20) must be released from the master iDEX proposal annex.</t>
        </is>
      </c>
      <c r="L34" s="3" t="inlineStr">
        <is>
          <t>Recorded as Assumption ASM-ENG-001 and Question QUE-SCP-001 in Task 1.</t>
        </is>
      </c>
    </row>
    <row r="35" ht="42" customHeight="1">
      <c r="A35" s="6" t="inlineStr">
        <is>
          <t>DRAFT-D-003</t>
        </is>
      </c>
      <c r="B35" s="7" t="inlineStr">
        <is>
          <t>The engineering team shall maintain a configuration-controlled Project Scope Baseline document establishing system boundaries, PECLF allocations, constraints, and open scope decisions.</t>
        </is>
      </c>
      <c r="C35" s="8" t="inlineStr">
        <is>
          <t>Documentation</t>
        </is>
      </c>
      <c r="D35" s="7" t="inlineStr">
        <is>
          <t>Configuration &amp; Scope Management</t>
        </is>
      </c>
      <c r="E35" s="7" t="inlineStr">
        <is>
          <t>Task Order TRAIN-002 &amp; P01_Project_Scope_Baseline.md</t>
        </is>
      </c>
      <c r="F35" s="7" t="inlineStr">
        <is>
          <t>Task Order Sec 1, Sec 4; Scope Baseline Sec 1 (p. 1)</t>
        </is>
      </c>
      <c r="G35" s="7" t="inlineStr">
        <is>
          <t>Mandated deliverable under Task Order TRAIN-002 on 22 October 2026.</t>
        </is>
      </c>
      <c r="H35" s="8" t="inlineStr">
        <is>
          <t>Not Assigned</t>
        </is>
      </c>
      <c r="I35" s="8" t="inlineStr">
        <is>
          <t>Inspection</t>
        </is>
      </c>
      <c r="J35" s="5" t="inlineStr">
        <is>
          <t>Proposed for Review</t>
        </is>
      </c>
      <c r="K35" s="7" t="inlineStr">
        <is>
          <t>None. Delivered as P01_Project_Scope_Baseline.md.</t>
        </is>
      </c>
      <c r="L35" s="7" t="inlineStr">
        <is>
          <t>Deliverable 1 under Task Order TRAIN-002.</t>
        </is>
      </c>
    </row>
    <row r="36" ht="42" customHeight="1">
      <c r="A36" s="2" t="inlineStr">
        <is>
          <t>DRAFT-D-004</t>
        </is>
      </c>
      <c r="B36" s="3" t="inlineStr">
        <is>
          <t>The engineering team shall deliver an auditable, structured Initial Requirements Register workbook categorizing functional, performance, safety, and documentation requirements on 22 October 2026.</t>
        </is>
      </c>
      <c r="C36" s="4" t="inlineStr">
        <is>
          <t>Documentation</t>
        </is>
      </c>
      <c r="D36" s="3" t="inlineStr">
        <is>
          <t>Configuration &amp; Scope Management</t>
        </is>
      </c>
      <c r="E36" s="3" t="inlineStr">
        <is>
          <t>Task Order TRAIN-002</t>
        </is>
      </c>
      <c r="F36" s="3" t="inlineStr">
        <is>
          <t>Task Order Sec 1, Sec 2, Sec 5</t>
        </is>
      </c>
      <c r="G36" s="3" t="inlineStr">
        <is>
          <t>Mandated deliverable under Task Order TRAIN-002 on 22 October 2026.</t>
        </is>
      </c>
      <c r="H36" s="4" t="inlineStr">
        <is>
          <t>Not Assigned</t>
        </is>
      </c>
      <c r="I36" s="4" t="inlineStr">
        <is>
          <t>Inspection</t>
        </is>
      </c>
      <c r="J36" s="5" t="inlineStr">
        <is>
          <t>Proposed for Review</t>
        </is>
      </c>
      <c r="K36" s="3" t="inlineStr">
        <is>
          <t>None. Work authorized under TRAIN-002.</t>
        </is>
      </c>
      <c r="L36" s="3" t="inlineStr">
        <is>
          <t>Current deliverable (P02_Initial_Requirements_Register.xlsx).</t>
        </is>
      </c>
    </row>
    <row r="37" ht="42" customHeight="1">
      <c r="A37" s="6" t="inlineStr">
        <is>
          <t>DRAFT-D-005</t>
        </is>
      </c>
      <c r="B37" s="7" t="inlineStr">
        <is>
          <t>All software source code commits, firmware releases, and hardware schematic promotions shall occur exclusively through peer-reviewed, cryptographically signed internal repository branches.</t>
        </is>
      </c>
      <c r="C37" s="8" t="inlineStr">
        <is>
          <t>Documentation</t>
        </is>
      </c>
      <c r="D37" s="7" t="inlineStr">
        <is>
          <t>Configuration &amp; Quality Assurance</t>
        </is>
      </c>
      <c r="E37" s="7" t="inlineStr">
        <is>
          <t>REA-T1-OVERVIEW-2026-V1.0</t>
        </is>
      </c>
      <c r="F37" s="7" t="inlineStr">
        <is>
          <t>Section 10.2 (Controlled Integration) (p. 11)</t>
        </is>
      </c>
      <c r="G37" s="7" t="inlineStr">
        <is>
          <t>Explicitly states 'Controlled Integration: Code and hardware promotions occur exclusively through peer-reviewed, cryptographically signed internal repository branches.'</t>
        </is>
      </c>
      <c r="H37" s="8" t="inlineStr">
        <is>
          <t>Not Assigned</t>
        </is>
      </c>
      <c r="I37" s="8" t="inlineStr">
        <is>
          <t>Inspection</t>
        </is>
      </c>
      <c r="J37" s="5" t="inlineStr">
        <is>
          <t>Proposed for Review</t>
        </is>
      </c>
      <c r="K37" s="7" t="inlineStr">
        <is>
          <t>Cryptographic signing key management policy (GPG key length/storage) and CI/CD promotion gate rules need documentation.</t>
        </is>
      </c>
      <c r="L37" s="7" t="inlineStr">
        <is>
          <t>Core engineering integrity protocol.</t>
        </is>
      </c>
    </row>
    <row r="38" ht="42" customHeight="1">
      <c r="A38" s="2" t="inlineStr">
        <is>
          <t>DRAFT-D-006</t>
        </is>
      </c>
      <c r="B38" s="3" t="inlineStr">
        <is>
          <t>The project team shall compile comprehensive iDEX demonstration dossiers, safety registers, failure mode analyses, and manufacturing documentation packages prior to Milestone 5 pre-induction field evaluation.</t>
        </is>
      </c>
      <c r="C38" s="4" t="inlineStr">
        <is>
          <t>Documentation</t>
        </is>
      </c>
      <c r="D38" s="3" t="inlineStr">
        <is>
          <t>Certification &amp; Deliverables</t>
        </is>
      </c>
      <c r="E38" s="3" t="inlineStr">
        <is>
          <t>REA-T1-OVERVIEW-2026-V1.0</t>
        </is>
      </c>
      <c r="F38" s="3" t="inlineStr">
        <is>
          <t>Section 9.2 (Milestone 5 Outputs) (p. 10)</t>
        </is>
      </c>
      <c r="G38" s="3" t="inlineStr">
        <is>
          <t>Milestone 5 deliverables include 'comprehensive iDEX demonstration dossiers, safety registers, and manufacturing documentation' for MoD evaluators.</t>
        </is>
      </c>
      <c r="H38" s="4" t="inlineStr">
        <is>
          <t>Not Assigned</t>
        </is>
      </c>
      <c r="I38" s="4" t="inlineStr">
        <is>
          <t>Inspection</t>
        </is>
      </c>
      <c r="J38" s="5" t="inlineStr">
        <is>
          <t>Proposed for Review</t>
        </is>
      </c>
      <c r="K38" s="3" t="inlineStr">
        <is>
          <t>Specific MoD evaluation dossier format and safety case standard (e.g. Def Stan 00-056 or equivalent) not detailed.</t>
        </is>
      </c>
      <c r="L38" s="3" t="inlineStr">
        <is>
          <t>Final project lifecycle documentation deliverable.</t>
        </is>
      </c>
    </row>
    <row r="39" ht="42" customHeight="1">
      <c r="A39" s="6" t="inlineStr">
        <is>
          <t>DRAFT-D-007</t>
        </is>
      </c>
      <c r="B39" s="7" t="inlineStr">
        <is>
          <t>The engineering team shall document formal power consumption audits and thermal profiling test reports down to -20°C for all integrated benchtop HIL avionics and compute modules during Milestone 2.</t>
        </is>
      </c>
      <c r="C39" s="8" t="inlineStr">
        <is>
          <t>Documentation</t>
        </is>
      </c>
      <c r="D39" s="7" t="inlineStr">
        <is>
          <t>Test &amp; Verification Reporting</t>
        </is>
      </c>
      <c r="E39" s="7" t="inlineStr">
        <is>
          <t>REA-T1-OVERVIEW-2026-V1.0</t>
        </is>
      </c>
      <c r="F39" s="7" t="inlineStr">
        <is>
          <t>Section 9.2 (Milestone 2 Outputs) (p. 10)</t>
        </is>
      </c>
      <c r="G39" s="7" t="inlineStr">
        <is>
          <t>Milestone 2 deliverables explicitly mandate 'power/thermal audit reports, and verified inter-module communication drivers.'</t>
        </is>
      </c>
      <c r="H39" s="8" t="inlineStr">
        <is>
          <t>Not Assigned</t>
        </is>
      </c>
      <c r="I39" s="8" t="inlineStr">
        <is>
          <t>Inspection</t>
        </is>
      </c>
      <c r="J39" s="5" t="inlineStr">
        <is>
          <t>Proposed for Review</t>
        </is>
      </c>
      <c r="K39" s="7" t="inlineStr">
        <is>
          <t>Power budget allocation breakdown and thermal reporting template need formal definition in Milestone 2 test plan.</t>
        </is>
      </c>
      <c r="L39" s="7" t="inlineStr">
        <is>
          <t>Milestone 2 documentation deliverable.</t>
        </is>
      </c>
    </row>
  </sheetData>
  <autoFilter ref="A1:L39"/>
  <dataValidations count="2">
    <dataValidation sqref="C2:C39" showDropDown="0" showInputMessage="0" showErrorMessage="0" allowBlank="0" errorTitle="Invalid Category" error="Your entry is not valid" promptTitle="Category" prompt="Please select from the list" type="list">
      <formula1>"Functional,Performance,Safety,Documentation"</formula1>
    </dataValidation>
    <dataValidation sqref="J2:J39" showDropDown="0" showInputMessage="0" showErrorMessage="0" allowBlank="0" errorTitle="Invalid Status" error="Your entry is not valid" promptTitle="Status" prompt="Please select from the list" type="list">
      <formula1>"Draft,Pending Clarification,Proposed for Review"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22" customWidth="1" min="3" max="3"/>
    <col width="65" customWidth="1" min="4" max="4"/>
  </cols>
  <sheetData>
    <row r="1" ht="24" customHeight="1">
      <c r="A1" s="10" t="inlineStr">
        <is>
          <t>RUDRAEDGE RE-T1 (SPECTRA) — REQUIREMENTS REGISTER SUMMARY</t>
        </is>
      </c>
    </row>
    <row r="2" ht="18" customHeight="1">
      <c r="A2" s="11" t="inlineStr">
        <is>
          <t>Project Reference: RE-iDEX-PROPOSAL-2026-R1 | Task Order: TRAIN-002 | Date: 22 October 2026 | Engineer: Priyanka Sharma</t>
        </is>
      </c>
    </row>
    <row r="3" ht="12" customHeight="1"/>
    <row r="4" ht="26" customHeight="1">
      <c r="A4" s="1" t="inlineStr">
        <is>
          <t>Requirement Category</t>
        </is>
      </c>
      <c r="B4" s="1" t="inlineStr">
        <is>
          <t>Number of Requirements (Count)</t>
        </is>
      </c>
      <c r="C4" s="1" t="inlineStr">
        <is>
          <t>Percentage of Total</t>
        </is>
      </c>
      <c r="D4" s="1" t="inlineStr">
        <is>
          <t>Category Description &amp; Focus</t>
        </is>
      </c>
    </row>
    <row r="5" ht="28" customHeight="1">
      <c r="A5" s="12" t="inlineStr">
        <is>
          <t>Functional</t>
        </is>
      </c>
      <c r="B5" s="13">
        <f>COUNTIF(Requirements_Register!C2:C39, "Functional")</f>
        <v/>
      </c>
      <c r="C5" s="14">
        <f>B5/$B$9</f>
        <v/>
      </c>
      <c r="D5" s="15" t="inlineStr">
        <is>
          <t>Core platform behaviors, sensor data acquisition, edge AI inference, FSO communications, and navigation logic.</t>
        </is>
      </c>
    </row>
    <row r="6" ht="28" customHeight="1">
      <c r="A6" s="12" t="inlineStr">
        <is>
          <t>Performance</t>
        </is>
      </c>
      <c r="B6" s="13">
        <f>COUNTIF(Requirements_Register!C2:C39, "Performance")</f>
        <v/>
      </c>
      <c r="C6" s="14">
        <f>B6/$B$9</f>
        <v/>
      </c>
      <c r="D6" s="15" t="inlineStr">
        <is>
          <t>Measurable engineering thresholds including latency (&lt;1ms), operating temp (-20°C), RF frequency bands (400MHz-6GHz), and drift limits.</t>
        </is>
      </c>
    </row>
    <row r="7" ht="28" customHeight="1">
      <c r="A7" s="12" t="inlineStr">
        <is>
          <t>Safety</t>
        </is>
      </c>
      <c r="B7" s="13">
        <f>COUNTIF(Requirements_Register!C2:C39, "Safety")</f>
        <v/>
      </c>
      <c r="C7" s="14">
        <f>B7/$B$9</f>
        <v/>
      </c>
      <c r="D7" s="15" t="inlineStr">
        <is>
          <t>Flight-critical isolation firewalls, bare-metal PX4 decoupling, watchdog timers, hardware effector interlocks, and air-gapped networking.</t>
        </is>
      </c>
    </row>
    <row r="8" ht="28" customHeight="1">
      <c r="A8" s="12" t="inlineStr">
        <is>
          <t>Documentation</t>
        </is>
      </c>
      <c r="B8" s="13">
        <f>COUNTIF(Requirements_Register!C2:C39, "Documentation")</f>
        <v/>
      </c>
      <c r="C8" s="14">
        <f>B8/$B$9</f>
        <v/>
      </c>
      <c r="D8" s="15" t="inlineStr">
        <is>
          <t>Mandated project artifacts, SRS baselining (M1), deliverable traceability (D1-D20), cryptographic commit signing, and audit dossiers.</t>
        </is>
      </c>
    </row>
    <row r="9" ht="26" customHeight="1">
      <c r="A9" s="16" t="inlineStr">
        <is>
          <t>Total Requirements Count</t>
        </is>
      </c>
      <c r="B9" s="17">
        <f>SUM(B5:B8)</f>
        <v/>
      </c>
      <c r="C9" s="18">
        <f>SUM(C5:C8)</f>
        <v/>
      </c>
      <c r="D9" s="16" t="inlineStr">
        <is>
          <t>Complete count of all draft requirement records captured in initial register.</t>
        </is>
      </c>
    </row>
    <row r="10" ht="16" customHeight="1"/>
    <row r="11" ht="26" customHeight="1">
      <c r="A11" s="19" t="inlineStr">
        <is>
          <t>Status Breakdown</t>
        </is>
      </c>
      <c r="B11" s="19" t="inlineStr">
        <is>
          <t>Count</t>
        </is>
      </c>
      <c r="C11" s="19" t="inlineStr">
        <is>
          <t>Percentage of Total</t>
        </is>
      </c>
      <c r="D11" s="19" t="inlineStr">
        <is>
          <t>Status Definition &amp; Action Required</t>
        </is>
      </c>
    </row>
    <row r="12" ht="28" customHeight="1">
      <c r="A12" s="12" t="inlineStr">
        <is>
          <t>Proposed for Review</t>
        </is>
      </c>
      <c r="B12" s="13">
        <f>COUNTIF(Requirements_Register!J2:J39, "Proposed for Review")</f>
        <v/>
      </c>
      <c r="C12" s="14">
        <f>B12/$B$9</f>
        <v/>
      </c>
      <c r="D12" s="15" t="inlineStr">
        <is>
          <t>Sufficient source evidence exists; ready for peer review by Chief Systems Engineer.</t>
        </is>
      </c>
    </row>
    <row r="13" ht="28" customHeight="1">
      <c r="A13" s="12" t="inlineStr">
        <is>
          <t>Pending Clarification</t>
        </is>
      </c>
      <c r="B13" s="13">
        <f>COUNTIF(Requirements_Register!J2:J39, "Pending Clarification")</f>
        <v/>
      </c>
      <c r="C13" s="14">
        <f>B13/$B$9</f>
        <v/>
      </c>
      <c r="D13" s="15" t="inlineStr">
        <is>
          <t>Requirement identified from source, but numerical threshold, protocol, or interface specification is missing.</t>
        </is>
      </c>
    </row>
    <row r="14" ht="28" customHeight="1">
      <c r="A14" s="12" t="inlineStr">
        <is>
          <t>Draft</t>
        </is>
      </c>
      <c r="B14" s="13">
        <f>COUNTIF(Requirements_Register!J2:J39, "Draft")</f>
        <v/>
      </c>
      <c r="C14" s="14">
        <f>B14/$B$9</f>
        <v/>
      </c>
      <c r="D14" s="15" t="inlineStr">
        <is>
          <t>Initial draft requirement entry under active authoring.</t>
        </is>
      </c>
    </row>
    <row r="15" ht="26" customHeight="1">
      <c r="A15" s="16" t="inlineStr">
        <is>
          <t>Total Categorized by Status</t>
        </is>
      </c>
      <c r="B15" s="17">
        <f>SUM(B12:B14)</f>
        <v/>
      </c>
      <c r="C15" s="18">
        <f>SUM(C12:C14)</f>
        <v/>
      </c>
      <c r="D15" s="16" t="inlineStr">
        <is>
          <t>Matches total count of primary requirements register.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28" customWidth="1" min="3" max="3"/>
    <col width="22" customWidth="1" min="4" max="4"/>
    <col width="28" customWidth="1" min="5" max="5"/>
    <col width="45" customWidth="1" min="6" max="6"/>
    <col width="45" customWidth="1" min="7" max="7"/>
  </cols>
  <sheetData>
    <row r="1" ht="28" customHeight="1">
      <c r="A1" s="1" t="inlineStr">
        <is>
          <t>Source Reference ID</t>
        </is>
      </c>
      <c r="B1" s="1" t="inlineStr">
        <is>
          <t>Document Title</t>
        </is>
      </c>
      <c r="C1" s="1" t="inlineStr">
        <is>
          <t>Document ID / Filename</t>
        </is>
      </c>
      <c r="D1" s="1" t="inlineStr">
        <is>
          <t>Version or Date</t>
        </is>
      </c>
      <c r="E1" s="1" t="inlineStr">
        <is>
          <t>Relevant Sections</t>
        </is>
      </c>
      <c r="F1" s="1" t="inlineStr">
        <is>
          <t>Information Used</t>
        </is>
      </c>
      <c r="G1" s="1" t="inlineStr">
        <is>
          <t>Limitations or Missing Information</t>
        </is>
      </c>
    </row>
    <row r="2" ht="55" customHeight="1">
      <c r="A2" s="2" t="inlineStr">
        <is>
          <t>SRC-01</t>
        </is>
      </c>
      <c r="B2" s="15" t="inlineStr">
        <is>
          <t>RudraEdge RE-T1 (Spectra) Project Introduction &amp; Technical Overview: Understanding the System • Technology • Architecture • Development</t>
        </is>
      </c>
      <c r="C2" s="20" t="inlineStr">
        <is>
          <t>REA-T1-OVERVIEW-2026-V1.0</t>
        </is>
      </c>
      <c r="D2" s="20" t="inlineStr">
        <is>
          <t>Version 1.0 (2026)</t>
        </is>
      </c>
      <c r="E2" s="15" t="inlineStr">
        <is>
          <t>Sections 1 through 11 (Pages 1–12)</t>
        </is>
      </c>
      <c r="F2" s="15" t="inlineStr">
        <is>
          <t>Primary engineering source for platform concept, 8-layer PECLF framework, 20 frozen capabilities, 10-Tier Validation Ladder, 18-month phased engineering lifecycle, interface buses, and architectural isolation firewalls.</t>
        </is>
      </c>
      <c r="G2" s="15" t="inlineStr">
        <is>
          <t>Lacks itemized descriptions for deliverables D1 through D20; omits specific numerical flight performance envelope thresholds (MTOW, endurance, operating ceiling, payload capacity in kg).</t>
        </is>
      </c>
    </row>
    <row r="3" ht="55" customHeight="1">
      <c r="A3" s="2" t="inlineStr">
        <is>
          <t>SRC-02</t>
        </is>
      </c>
      <c r="B3" s="15" t="inlineStr">
        <is>
          <t>Project Scope Baseline: RudraEdge RE-T1 (Spectra) Tactical UAS</t>
        </is>
      </c>
      <c r="C3" s="20" t="inlineStr">
        <is>
          <t>P01_Project_Scope_Baseline.md</t>
        </is>
      </c>
      <c r="D3" s="20" t="inlineStr">
        <is>
          <t>Version 0.1 (22 October 2026)</t>
        </is>
      </c>
      <c r="E3" s="15" t="inlineStr">
        <is>
          <t>Sections 1 through 15 (Complete Document)</t>
        </is>
      </c>
      <c r="F3" s="15" t="inlineStr">
        <is>
          <t>System boundaries, PECLF subsystem scope allocation, in-scope vs. out-of-scope boundaries, active project constraints register, assumptions register, inter-module interface dependencies, and open scope questions.</t>
        </is>
      </c>
      <c r="G3" s="15" t="inlineStr">
        <is>
          <t>Internal engineering baseline document drafted under Task TRAIN-002; pending formal steering committee and peer review approval.</t>
        </is>
      </c>
    </row>
    <row r="4" ht="55" customHeight="1">
      <c r="A4" s="2" t="inlineStr">
        <is>
          <t>SRC-03</t>
        </is>
      </c>
      <c r="B4" s="15" t="inlineStr">
        <is>
          <t>Task Order: Requirements Baseline (TRAIN-002)</t>
        </is>
      </c>
      <c r="C4" s="20" t="inlineStr">
        <is>
          <t>TRAIN-002</t>
        </is>
      </c>
      <c r="D4" s="20" t="inlineStr">
        <is>
          <t>22 October 2026</t>
        </is>
      </c>
      <c r="E4" s="15" t="inlineStr">
        <is>
          <t>Sections 1 through 11</t>
        </is>
      </c>
      <c r="F4" s="15" t="inlineStr">
        <is>
          <t>Engineer assignment (Priyanka Sharma, Systems Requirements &amp; Configuration Engineer), task authorization boundaries, deliverable specifications (P01 and P02), workbook formatting guidelines, and training expenditure constraints.</t>
        </is>
      </c>
      <c r="G4" s="15" t="inlineStr">
        <is>
          <t>Authorized scope is strictly bounded to desk-based systems engineering, requirements modeling, and documentation; explicitly excludes physical hardware procurement, live flight tests, and paid cloud services.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2026-10-21T14:36:27Z</dcterms:created>
  <dcterms:modified xmlns:dcterms="http://purl.org/dc/terms/" xmlns:xsi="http://www.w3.org/2001/XMLSchema-instance" xsi:type="dcterms:W3CDTF">2026-10-21T14:36:27Z</dcterms:modified>
</cp:coreProperties>
</file>