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_Register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Source_References" sheetId="3" state="visible" r:id="rId3"/>
  </sheets>
  <definedNames>
    <definedName name="_xlnm._FilterDatabase" localSheetId="0" hidden="1">'Requirements_Register'!$A$1:$L$38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color rgb="001A1A1A"/>
      <sz val="9.5"/>
    </font>
    <font>
      <name val="Segoe UI"/>
      <b val="1"/>
      <color rgb="001A1A1A"/>
      <sz val="9.5"/>
    </font>
    <font>
      <name val="Segoe UI"/>
      <b val="1"/>
      <color rgb="00274E13"/>
      <sz val="9.5"/>
    </font>
    <font>
      <name val="Segoe UI"/>
      <b val="1"/>
      <color rgb="00FFFFFF"/>
      <sz val="10"/>
    </font>
    <font>
      <name val="Segoe UI"/>
      <b val="1"/>
      <color rgb="001F3864"/>
      <sz val="14"/>
    </font>
    <font>
      <name val="Segoe UI"/>
      <i val="1"/>
      <color rgb="00595959"/>
      <sz val="10"/>
    </font>
    <font>
      <name val="Segoe UI"/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F9FAFC"/>
        <bgColor rgb="00F9FAF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 wrapText="1"/>
    </xf>
    <xf numFmtId="0" fontId="7" fillId="6" borderId="3" pivotButton="0" quotePrefix="0" xfId="0"/>
    <xf numFmtId="0" fontId="7" fillId="6" borderId="3" applyAlignment="1" pivotButton="0" quotePrefix="0" xfId="0">
      <alignment horizontal="center" vertical="center"/>
    </xf>
    <xf numFmtId="164" fontId="7" fillId="6" borderId="3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6" customWidth="1" min="3" max="3"/>
    <col width="26" customWidth="1" min="4" max="4"/>
    <col width="22" customWidth="1" min="5" max="5"/>
    <col width="30" customWidth="1" min="6" max="6"/>
    <col width="40" customWidth="1" min="7" max="7"/>
    <col width="15" customWidth="1" min="8" max="8"/>
    <col width="20" customWidth="1" min="9" max="9"/>
    <col width="22" customWidth="1" min="10" max="10"/>
    <col width="38" customWidth="1" min="11" max="11"/>
    <col width="30" customWidth="1" min="12" max="12"/>
  </cols>
  <sheetData>
    <row r="1" ht="28" customHeight="1">
      <c r="A1" s="1" t="inlineStr">
        <is>
          <t>Draft Reference</t>
        </is>
      </c>
      <c r="B1" s="1" t="inlineStr">
        <is>
          <t>Requirement Description</t>
        </is>
      </c>
      <c r="C1" s="1" t="inlineStr">
        <is>
          <t>Category</t>
        </is>
      </c>
      <c r="D1" s="1" t="inlineStr">
        <is>
          <t>Requirement Type / Subcategory</t>
        </is>
      </c>
      <c r="E1" s="1" t="inlineStr">
        <is>
          <t>Source Document</t>
        </is>
      </c>
      <c r="F1" s="1" t="inlineStr">
        <is>
          <t>Source Section / Page</t>
        </is>
      </c>
      <c r="G1" s="1" t="inlineStr">
        <is>
          <t>Source Statement or Rationale</t>
        </is>
      </c>
      <c r="H1" s="1" t="inlineStr">
        <is>
          <t>Priority</t>
        </is>
      </c>
      <c r="I1" s="1" t="inlineStr">
        <is>
          <t>Verification Method (Preliminary)</t>
        </is>
      </c>
      <c r="J1" s="1" t="inlineStr">
        <is>
          <t>Status</t>
        </is>
      </c>
      <c r="K1" s="1" t="inlineStr">
        <is>
          <t>Clarification Needed</t>
        </is>
      </c>
      <c r="L1" s="1" t="inlineStr">
        <is>
          <t>Notes</t>
        </is>
      </c>
    </row>
    <row r="2" ht="42" customHeight="1">
      <c r="A2" s="2" t="inlineStr">
        <is>
          <t>DRAFT-F-001</t>
        </is>
      </c>
      <c r="B2" s="3" t="inlineStr">
        <is>
          <t>The system shall capture and hardware-synchronize daylight 4K Sony CMOS optical video and 640x512 uncooled FLIR Boson thermal video streams via MIPI-CSI 4-Lane Gen3 camera interfaces.</t>
        </is>
      </c>
      <c r="C2" s="4" t="inlineStr">
        <is>
          <t>Functional</t>
        </is>
      </c>
      <c r="D2" s="3" t="inlineStr">
        <is>
          <t>Perception &amp; Ingress</t>
        </is>
      </c>
      <c r="E2" s="3" t="inlineStr">
        <is>
          <t>AVT-AETH-2026-X9</t>
        </is>
      </c>
      <c r="F2" s="3" t="inlineStr">
        <is>
          <t>Section 1.2, Section 7 (Module 02), Section 8.1 (p. 1, 7, 8)</t>
        </is>
      </c>
      <c r="G2" s="3" t="inlineStr">
        <is>
          <t>Module 02 (OptiSight) integrates 4K Sony CMOS and 640x512 FLIR Boson thermal lens outputting dual feeds over MIPI-CSI.</t>
        </is>
      </c>
      <c r="H2" s="4" t="inlineStr">
        <is>
          <t>Not Assigned</t>
        </is>
      </c>
      <c r="I2" s="4" t="inlineStr">
        <is>
          <t>Demonstration</t>
        </is>
      </c>
      <c r="J2" s="5" t="inlineStr">
        <is>
          <t>Proposed for Review</t>
        </is>
      </c>
      <c r="K2" s="3" t="inlineStr">
        <is>
          <t>Optical CMOS field-of-view (FOV) and zoom lens magnification ratios not stated in blueprint.</t>
        </is>
      </c>
      <c r="L2" s="3" t="inlineStr">
        <is>
          <t>Part of Module 02 (OptiSight) and Layer A.</t>
        </is>
      </c>
    </row>
    <row r="3" ht="42" customHeight="1">
      <c r="A3" s="6" t="inlineStr">
        <is>
          <t>DRAFT-F-002</t>
        </is>
      </c>
      <c r="B3" s="7" t="inlineStr">
        <is>
          <t>The system shall capture and stream 16-bit IQ complex radar samples from an onboard micro-Ground Penetrating Radar (GPR) antenna over USB 3.0 / PCIe x2 into dedicated DSP priority buffers to detect buried tactical targets.</t>
        </is>
      </c>
      <c r="C3" s="8" t="inlineStr">
        <is>
          <t>Functional</t>
        </is>
      </c>
      <c r="D3" s="7" t="inlineStr">
        <is>
          <t>Subsurface Radar Sensing</t>
        </is>
      </c>
      <c r="E3" s="7" t="inlineStr">
        <is>
          <t>AVT-AETH-2026-X9</t>
        </is>
      </c>
      <c r="F3" s="7" t="inlineStr">
        <is>
          <t>Section 3.2, Section 8.1 (p. 3, 8)</t>
        </is>
      </c>
      <c r="G3" s="7" t="inlineStr">
        <is>
          <t>Section 8.1 specifies USB 3.0 / PCIe x2 interface transferring 16-bit IQ complex samples with dedicated DSP priority ring buffers.</t>
        </is>
      </c>
      <c r="H3" s="8" t="inlineStr">
        <is>
          <t>Not Assigned</t>
        </is>
      </c>
      <c r="I3" s="8" t="inlineStr">
        <is>
          <t>Test</t>
        </is>
      </c>
      <c r="J3" s="5" t="inlineStr">
        <is>
          <t>Proposed for Review</t>
        </is>
      </c>
      <c r="K3" s="7" t="inlineStr">
        <is>
          <t>Center frequency and soil/ice penetration depth specifications not defined.</t>
        </is>
      </c>
      <c r="L3" s="7" t="inlineStr">
        <is>
          <t>Layer A sensory ingress feeding Layer C DSP pipeline.</t>
        </is>
      </c>
    </row>
    <row r="4" ht="42" customHeight="1">
      <c r="A4" s="2" t="inlineStr">
        <is>
          <t>DRAFT-F-003</t>
        </is>
      </c>
      <c r="B4" s="3" t="inlineStr">
        <is>
          <t>The system shall ingest acoustic air pressure signals from a 4-channel microphone array and execute Time-Difference-of-Arrival (TDoA) algorithms to calculate directional bearing estimates to acoustic impulse noises.</t>
        </is>
      </c>
      <c r="C4" s="4" t="inlineStr">
        <is>
          <t>Functional</t>
        </is>
      </c>
      <c r="D4" s="3" t="inlineStr">
        <is>
          <t>Acoustic Sensing &amp; DSP</t>
        </is>
      </c>
      <c r="E4" s="3" t="inlineStr">
        <is>
          <t>AVT-AETH-2026-X9</t>
        </is>
      </c>
      <c r="F4" s="3" t="inlineStr">
        <is>
          <t>Section 1.2, Section 4, Section 7 (Module 04) (p. 1, 4, 7)</t>
        </is>
      </c>
      <c r="G4" s="3" t="inlineStr">
        <is>
          <t>Module 04 evaluates Time-Difference-of-Arrival acoustic localization from a 4-channel microphone array.</t>
        </is>
      </c>
      <c r="H4" s="4" t="inlineStr">
        <is>
          <t>Not Assigned</t>
        </is>
      </c>
      <c r="I4" s="4" t="inlineStr">
        <is>
          <t>Demonstration</t>
        </is>
      </c>
      <c r="J4" s="5" t="inlineStr">
        <is>
          <t>Proposed for Review</t>
        </is>
      </c>
      <c r="K4" s="3" t="inlineStr">
        <is>
          <t>Acoustic sampling frequency and minimum impulse detection sensitivity not specified.</t>
        </is>
      </c>
      <c r="L4" s="3" t="inlineStr">
        <is>
          <t>Part of Module 04 (SpectraSense).</t>
        </is>
      </c>
    </row>
    <row r="5" ht="42" customHeight="1">
      <c r="A5" s="6" t="inlineStr">
        <is>
          <t>DRAFT-F-004</t>
        </is>
      </c>
      <c r="B5" s="7" t="inlineStr">
        <is>
          <t>The system shall maintain real-time 6-DOF vehicle pose and velocity estimation in GNSS-denied environments by fusing dual stereo visual odometry, tactical-grade 200Hz IMU angular rates, and onboard DEM terrain matching via extended Kalman filtering (EKF3).</t>
        </is>
      </c>
      <c r="C5" s="8" t="inlineStr">
        <is>
          <t>Functional</t>
        </is>
      </c>
      <c r="D5" s="7" t="inlineStr">
        <is>
          <t>Navigation &amp; Autonomy</t>
        </is>
      </c>
      <c r="E5" s="7" t="inlineStr">
        <is>
          <t>AVT-AETH-2026-X9</t>
        </is>
      </c>
      <c r="F5" s="7" t="inlineStr">
        <is>
          <t>Section 1.1, Section 2.2, Section 7 (Module 01) (p. 1, 2, 7)</t>
        </is>
      </c>
      <c r="G5" s="7" t="inlineStr">
        <is>
          <t>AetherNav VIO Matrix combines dual stereo visual odometry, tactical-grade 200Hz IMU units, and DEM terrain matching for zero-drift positioning.</t>
        </is>
      </c>
      <c r="H5" s="8" t="inlineStr">
        <is>
          <t>Not Assigned</t>
        </is>
      </c>
      <c r="I5" s="8" t="inlineStr">
        <is>
          <t>Test</t>
        </is>
      </c>
      <c r="J5" s="5" t="inlineStr">
        <is>
          <t>Proposed for Review</t>
        </is>
      </c>
      <c r="K5" s="7" t="inlineStr">
        <is>
          <t>DEM database spatial resolution (e.g. 1m vs 5m grid) not quantified.</t>
        </is>
      </c>
      <c r="L5" s="7" t="inlineStr">
        <is>
          <t>Module 01 (AetherNav) and Layer B.</t>
        </is>
      </c>
    </row>
    <row r="6" ht="42" customHeight="1">
      <c r="A6" s="2" t="inlineStr">
        <is>
          <t>DRAFT-F-005</t>
        </is>
      </c>
      <c r="B6" s="3" t="inlineStr">
        <is>
          <t>The system shall execute real-time attitude PID loops, waypoint navigation, and autonomous trajectory control via VanguardFlight OS combined with PX4 flight control firmware on dual-redundant STM32H7 microcontrollers.</t>
        </is>
      </c>
      <c r="C6" s="4" t="inlineStr">
        <is>
          <t>Functional</t>
        </is>
      </c>
      <c r="D6" s="3" t="inlineStr">
        <is>
          <t>Flight Control &amp; Avionics</t>
        </is>
      </c>
      <c r="E6" s="3" t="inlineStr">
        <is>
          <t>AVT-AETH-2026-X9</t>
        </is>
      </c>
      <c r="F6" s="3" t="inlineStr">
        <is>
          <t>Section 1.1, Section 1.2, Section 6.2 (p. 1, 6)</t>
        </is>
      </c>
      <c r="G6" s="3" t="inlineStr">
        <is>
          <t>VanguardFlight OS combines a proprietary real-time microkernel OS with PX4 flight control loops running on dual STM32H7 MCUs.</t>
        </is>
      </c>
      <c r="H6" s="4" t="inlineStr">
        <is>
          <t>Not Assigned</t>
        </is>
      </c>
      <c r="I6" s="4" t="inlineStr">
        <is>
          <t>Demonstration</t>
        </is>
      </c>
      <c r="J6" s="5" t="inlineStr">
        <is>
          <t>Proposed for Review</t>
        </is>
      </c>
      <c r="K6" s="3" t="inlineStr">
        <is>
          <t>Bank angle limits, maximum climb/descent rates, and autonomous return-to-base triggers need specification in SSRD.</t>
        </is>
      </c>
      <c r="L6" s="3" t="inlineStr">
        <is>
          <t>Layer B flight avionics stack.</t>
        </is>
      </c>
    </row>
    <row r="7" ht="42" customHeight="1">
      <c r="A7" s="6" t="inlineStr">
        <is>
          <t>DRAFT-F-006</t>
        </is>
      </c>
      <c r="B7" s="7" t="inlineStr">
        <is>
          <t>The system shall execute lightweight YOLOv8 neural network models directly onboard the Nvidia Jetson Orin Industrial SOM to extract tactical targets and generate bounding boxes from synchronized video streams.</t>
        </is>
      </c>
      <c r="C7" s="8" t="inlineStr">
        <is>
          <t>Functional</t>
        </is>
      </c>
      <c r="D7" s="7" t="inlineStr">
        <is>
          <t>Edge AI &amp; Vision</t>
        </is>
      </c>
      <c r="E7" s="7" t="inlineStr">
        <is>
          <t>AVT-AETH-2026-X9</t>
        </is>
      </c>
      <c r="F7" s="7" t="inlineStr">
        <is>
          <t>Section 4 (Engineering Domains), Section 7 (Module 03) (p. 4, 7)</t>
        </is>
      </c>
      <c r="G7" s="7" t="inlineStr">
        <is>
          <t>Deep Learning domain explicitly deploys lightweight YOLOv8 and vision transformer neural models for real-time edge object extraction.</t>
        </is>
      </c>
      <c r="H7" s="8" t="inlineStr">
        <is>
          <t>Not Assigned</t>
        </is>
      </c>
      <c r="I7" s="8" t="inlineStr">
        <is>
          <t>Demonstration</t>
        </is>
      </c>
      <c r="J7" s="5" t="inlineStr">
        <is>
          <t>Proposed for Review</t>
        </is>
      </c>
      <c r="K7" s="7" t="inlineStr">
        <is>
          <t>Specific YOLOv8 variant (Nano vs Small vs Medium) and target class taxonomy not stated.</t>
        </is>
      </c>
      <c r="L7" s="7" t="inlineStr">
        <is>
          <t>Module 03 (AeroCore) and Layer F.</t>
        </is>
      </c>
    </row>
    <row r="8" ht="42" customHeight="1">
      <c r="A8" s="2" t="inlineStr">
        <is>
          <t>DRAFT-F-007</t>
        </is>
      </c>
      <c r="B8" s="3" t="inlineStr">
        <is>
          <t>The system shall execute vision transformer neural models on onboard GPU/NPU tensor hardware to generate real-time pixel-level semantic segmentation masks of ground terrain and obstacles.</t>
        </is>
      </c>
      <c r="C8" s="4" t="inlineStr">
        <is>
          <t>Functional</t>
        </is>
      </c>
      <c r="D8" s="3" t="inlineStr">
        <is>
          <t>Edge AI &amp; Vision</t>
        </is>
      </c>
      <c r="E8" s="3" t="inlineStr">
        <is>
          <t>AVT-AETH-2026-X9</t>
        </is>
      </c>
      <c r="F8" s="3" t="inlineStr">
        <is>
          <t>Section 1.1, Section 4 (Engineering Domains), Section 7 (Module 03) (p. 1, 4, 7)</t>
        </is>
      </c>
      <c r="G8" s="3" t="inlineStr">
        <is>
          <t>AeroCore Edge-AI executes real-time semantic segmentation using vision transformer neural models.</t>
        </is>
      </c>
      <c r="H8" s="4" t="inlineStr">
        <is>
          <t>Not Assigned</t>
        </is>
      </c>
      <c r="I8" s="4" t="inlineStr">
        <is>
          <t>Demonstration</t>
        </is>
      </c>
      <c r="J8" s="5" t="inlineStr">
        <is>
          <t>Proposed for Review</t>
        </is>
      </c>
      <c r="K8" s="3" t="inlineStr">
        <is>
          <t>Target semantic classes and minimum acceptable mIoU segmentation accuracy not defined.</t>
        </is>
      </c>
      <c r="L8" s="3" t="inlineStr">
        <is>
          <t>Module 03 (AeroCore) and Layer F.</t>
        </is>
      </c>
    </row>
    <row r="9" ht="42" customHeight="1">
      <c r="A9" s="6" t="inlineStr">
        <is>
          <t>DRAFT-F-008</t>
        </is>
      </c>
      <c r="B9" s="7" t="inlineStr">
        <is>
          <t>The system shall perform comparative neural inference between live video streams and onboard historical terrain embeddings to automatically detect and flag ground modifications, fortifications, or vehicle tracks.</t>
        </is>
      </c>
      <c r="C9" s="8" t="inlineStr">
        <is>
          <t>Functional</t>
        </is>
      </c>
      <c r="D9" s="7" t="inlineStr">
        <is>
          <t>Edge AI &amp; Intelligence</t>
        </is>
      </c>
      <c r="E9" s="7" t="inlineStr">
        <is>
          <t>AVT-AETH-2026-X9</t>
        </is>
      </c>
      <c r="F9" s="7" t="inlineStr">
        <is>
          <t>Section 1.1, Section 2.2, Section 7 (Module 03) (p. 1, 2, 7)</t>
        </is>
      </c>
      <c r="G9" s="7" t="inlineStr">
        <is>
          <t>AeroCore executes real-time optical change detection and temporal target extraction onboard.</t>
        </is>
      </c>
      <c r="H9" s="8" t="inlineStr">
        <is>
          <t>Not Assigned</t>
        </is>
      </c>
      <c r="I9" s="8" t="inlineStr">
        <is>
          <t>Demonstration</t>
        </is>
      </c>
      <c r="J9" s="5" t="inlineStr">
        <is>
          <t>Proposed for Review</t>
        </is>
      </c>
      <c r="K9" s="7" t="inlineStr">
        <is>
          <t>Historical embedding geo-referencing format and minimum detectable disturbance dimension not defined.</t>
        </is>
      </c>
      <c r="L9" s="7" t="inlineStr">
        <is>
          <t>Module 03 (AeroCore) and Layer F.</t>
        </is>
      </c>
    </row>
    <row r="10" ht="42" customHeight="1">
      <c r="A10" s="2" t="inlineStr">
        <is>
          <t>DRAFT-F-009</t>
        </is>
      </c>
      <c r="B10" s="3" t="inlineStr">
        <is>
          <t>The system shall scan wideband radio frequency spectrum across 10 MHz to 6 GHz using Software-Defined Radio to generate RF spectrum occupancy grids and isolate hostile radar and emitter signatures.</t>
        </is>
      </c>
      <c r="C10" s="4" t="inlineStr">
        <is>
          <t>Functional</t>
        </is>
      </c>
      <c r="D10" s="3" t="inlineStr">
        <is>
          <t>Electronic Warfare &amp; DSP</t>
        </is>
      </c>
      <c r="E10" s="3" t="inlineStr">
        <is>
          <t>AVT-AETH-2026-X9</t>
        </is>
      </c>
      <c r="F10" s="3" t="inlineStr">
        <is>
          <t>Section 4 (DSP Domain), Section 7 (Module 04) (p. 4, 7)</t>
        </is>
      </c>
      <c r="G10" s="3" t="inlineStr">
        <is>
          <t>Module 04 monitors contested spectrum, detects hostile emissions, and outputs RF spectrum occupancy grids across 10 MHz to 6 GHz.</t>
        </is>
      </c>
      <c r="H10" s="4" t="inlineStr">
        <is>
          <t>Not Assigned</t>
        </is>
      </c>
      <c r="I10" s="4" t="inlineStr">
        <is>
          <t>Test</t>
        </is>
      </c>
      <c r="J10" s="5" t="inlineStr">
        <is>
          <t>Proposed for Review</t>
        </is>
      </c>
      <c r="K10" s="3" t="inlineStr">
        <is>
          <t>Instantaneous capture bandwidth, sweep repetition time, and emitter classification library depth not specified.</t>
        </is>
      </c>
      <c r="L10" s="3" t="inlineStr">
        <is>
          <t>Module 04 (SpectraSense) and Layer D.</t>
        </is>
      </c>
    </row>
    <row r="11" ht="42" customHeight="1">
      <c r="A11" s="6" t="inlineStr">
        <is>
          <t>DRAFT-F-010</t>
        </is>
      </c>
      <c r="B11" s="7" t="inlineStr">
        <is>
          <t>The system shall modulate and transmit tactical telemetry, target coordinates, and compressed mission imagery to friendly optical ground terminals over a directional 1550nm Free-Space Optical (FSO) laser array.</t>
        </is>
      </c>
      <c r="C11" s="8" t="inlineStr">
        <is>
          <t>Functional</t>
        </is>
      </c>
      <c r="D11" s="7" t="inlineStr">
        <is>
          <t>Optical Communications</t>
        </is>
      </c>
      <c r="E11" s="7" t="inlineStr">
        <is>
          <t>AVT-AETH-2026-X9</t>
        </is>
      </c>
      <c r="F11" s="7" t="inlineStr">
        <is>
          <t>Section 1.1, Section 2.2, Section 7 (Module 05) (p. 1, 2, 7)</t>
        </is>
      </c>
      <c r="G11" s="7" t="inlineStr">
        <is>
          <t>AetherBeam Optical Link deploys a directional 1550nm FSO laser array providing jam-proof high-bandwidth data transit.</t>
        </is>
      </c>
      <c r="H11" s="8" t="inlineStr">
        <is>
          <t>Not Assigned</t>
        </is>
      </c>
      <c r="I11" s="8" t="inlineStr">
        <is>
          <t>Demonstration</t>
        </is>
      </c>
      <c r="J11" s="5" t="inlineStr">
        <is>
          <t>Proposed for Review</t>
        </is>
      </c>
      <c r="K11" s="7" t="inlineStr">
        <is>
          <t>Laser beam divergence angle and optical ground terminal receiver aperture specifications not defined.</t>
        </is>
      </c>
      <c r="L11" s="7" t="inlineStr">
        <is>
          <t>Module 05 (AetherBeam) and Layer E.</t>
        </is>
      </c>
    </row>
    <row r="12" ht="42" customHeight="1">
      <c r="A12" s="2" t="inlineStr">
        <is>
          <t>DRAFT-F-011</t>
        </is>
      </c>
      <c r="B12" s="3" t="inlineStr">
        <is>
          <t>The system shall maintain closed-loop coarse-fine laser pointing, acquisition, and tracking (PAT) using fast steering mirrors driven by 200Hz gyro coordinate vectors over RS-422 to compensate for airframe vibration and wind shear.</t>
        </is>
      </c>
      <c r="C12" s="4" t="inlineStr">
        <is>
          <t>Functional</t>
        </is>
      </c>
      <c r="D12" s="3" t="inlineStr">
        <is>
          <t>Optical Communications &amp; GNC</t>
        </is>
      </c>
      <c r="E12" s="3" t="inlineStr">
        <is>
          <t>AVT-AETH-2026-X9</t>
        </is>
      </c>
      <c r="F12" s="3" t="inlineStr">
        <is>
          <t>Section 4 (Free-Space Optics), Section 8.1 (p. 4, 8)</t>
        </is>
      </c>
      <c r="G12" s="3" t="inlineStr">
        <is>
          <t>High-Speed RS422 transfers 200Hz gyro coordinate vectors to closed-loop steering mirrors compensating for airframe vibration.</t>
        </is>
      </c>
      <c r="H12" s="4" t="inlineStr">
        <is>
          <t>Not Assigned</t>
        </is>
      </c>
      <c r="I12" s="4" t="inlineStr">
        <is>
          <t>Demonstration</t>
        </is>
      </c>
      <c r="J12" s="5" t="inlineStr">
        <is>
          <t>Proposed for Review</t>
        </is>
      </c>
      <c r="K12" s="3" t="inlineStr">
        <is>
          <t>Fast steering mirror maximum angular deflection range and angular resolution not defined.</t>
        </is>
      </c>
      <c r="L12" s="3" t="inlineStr">
        <is>
          <t>Module 05 (AetherBeam) and Layer E.</t>
        </is>
      </c>
    </row>
    <row r="13" ht="42" customHeight="1">
      <c r="A13" s="6" t="inlineStr">
        <is>
          <t>DRAFT-F-012</t>
        </is>
      </c>
      <c r="B13" s="7" t="inlineStr">
        <is>
          <t>The system shall establish and maintain secondary frequency-hopping, cryptographically encrypted SDR RF communications for command, control, and telemetry fallback when optical laser links are obscured.</t>
        </is>
      </c>
      <c r="C13" s="8" t="inlineStr">
        <is>
          <t>Functional</t>
        </is>
      </c>
      <c r="D13" s="7" t="inlineStr">
        <is>
          <t>RF Communications</t>
        </is>
      </c>
      <c r="E13" s="7" t="inlineStr">
        <is>
          <t>AVT-AETH-2026-X9</t>
        </is>
      </c>
      <c r="F13" s="7" t="inlineStr">
        <is>
          <t>Section 2.2, Section 5.2 (Stage 5) (p. 2, 5)</t>
        </is>
      </c>
      <c r="G13" s="7" t="inlineStr">
        <is>
          <t>Optical transmission is backed by encrypted SDR RF fallback channels.</t>
        </is>
      </c>
      <c r="H13" s="8" t="inlineStr">
        <is>
          <t>Not Assigned</t>
        </is>
      </c>
      <c r="I13" s="8" t="inlineStr">
        <is>
          <t>Demonstration</t>
        </is>
      </c>
      <c r="J13" s="5" t="inlineStr">
        <is>
          <t>Proposed for Review</t>
        </is>
      </c>
      <c r="K13" s="7" t="inlineStr">
        <is>
          <t>RF frequency bands, hopping rates, and cryptographic encryption standard (e.g. AES-256) not specified.</t>
        </is>
      </c>
      <c r="L13" s="7" t="inlineStr">
        <is>
          <t>Layer E communication fallback.</t>
        </is>
      </c>
    </row>
    <row r="14" ht="42" customHeight="1">
      <c r="A14" s="2" t="inlineStr">
        <is>
          <t>DRAFT-F-013</t>
        </is>
      </c>
      <c r="B14" s="3" t="inlineStr">
        <is>
          <t>The system shall compute real-time ballistic release timing based on target GPS/grid coordinates and real-time pitot wind estimates, and command the servo unlatching of the AeroDrop logistical payload pod.</t>
        </is>
      </c>
      <c r="C14" s="4" t="inlineStr">
        <is>
          <t>Functional</t>
        </is>
      </c>
      <c r="D14" s="3" t="inlineStr">
        <is>
          <t>Payload &amp; Effectors</t>
        </is>
      </c>
      <c r="E14" s="3" t="inlineStr">
        <is>
          <t>AVT-AETH-2026-X9</t>
        </is>
      </c>
      <c r="F14" s="3" t="inlineStr">
        <is>
          <t>Section 7 (Module 06), Section 8.1 (p. 7, 8)</t>
        </is>
      </c>
      <c r="G14" s="3" t="inlineStr">
        <is>
          <t>Module 06 manages precision delivery of payloads using pitot wind estimates to compute ballistic release and unlatch signals.</t>
        </is>
      </c>
      <c r="H14" s="4" t="inlineStr">
        <is>
          <t>Not Assigned</t>
        </is>
      </c>
      <c r="I14" s="4" t="inlineStr">
        <is>
          <t>Demonstration</t>
        </is>
      </c>
      <c r="J14" s="5" t="inlineStr">
        <is>
          <t>Proposed for Review</t>
        </is>
      </c>
      <c r="K14" s="3" t="inlineStr">
        <is>
          <t>Cargo pod payload mass capacity (kg), internal volume dimensions, and delivery CEP accuracy not stated.</t>
        </is>
      </c>
      <c r="L14" s="3" t="inlineStr">
        <is>
          <t>Module 06 (AeroDrop) and Layer G.</t>
        </is>
      </c>
    </row>
    <row r="15" ht="42" customHeight="1">
      <c r="A15" s="6" t="inlineStr">
        <is>
          <t>DRAFT-F-014</t>
        </is>
      </c>
      <c r="B15" s="7" t="inlineStr">
        <is>
          <t>The system shall cryptographically authenticate all boot steps, bootloader binaries, Vanguard-Linux OS kernels, and ROS 2 Humble nodes from silicon power-on using a hardware TPM 2.0 security enclave.</t>
        </is>
      </c>
      <c r="C15" s="8" t="inlineStr">
        <is>
          <t>Functional</t>
        </is>
      </c>
      <c r="D15" s="7" t="inlineStr">
        <is>
          <t>Cybersecurity &amp; Data Sovereignty</t>
        </is>
      </c>
      <c r="E15" s="7" t="inlineStr">
        <is>
          <t>AVT-AETH-2026-X9</t>
        </is>
      </c>
      <c r="F15" s="7" t="inlineStr">
        <is>
          <t>Section 1.2, Section 6.1, Section 6.2 (p. 1, 6)</t>
        </is>
      </c>
      <c r="G15" s="7" t="inlineStr">
        <is>
          <t>Hardware TPM 2.0 enclave enforces cryptographically signed firmware boot steps and secure partitions.</t>
        </is>
      </c>
      <c r="H15" s="8" t="inlineStr">
        <is>
          <t>Not Assigned</t>
        </is>
      </c>
      <c r="I15" s="8" t="inlineStr">
        <is>
          <t>Inspection</t>
        </is>
      </c>
      <c r="J15" s="5" t="inlineStr">
        <is>
          <t>Proposed for Review</t>
        </is>
      </c>
      <c r="K15" s="7" t="inlineStr">
        <is>
          <t>Specific TPM 2.0 silicon part and public key certificate infrastructure (PKI) hierarchy not defined.</t>
        </is>
      </c>
      <c r="L15" s="7" t="inlineStr">
        <is>
          <t>Layer H (Cybersecurity Enclave).</t>
        </is>
      </c>
    </row>
    <row r="16" ht="42" customHeight="1">
      <c r="A16" s="2" t="inlineStr">
        <is>
          <t>DRAFT-F-015</t>
        </is>
      </c>
      <c r="B16" s="3" t="inlineStr">
        <is>
          <t>The system shall trigger irreversible hardware-enforced cryptographic flash memory wiping and instant zero-trace RAM purging upon detection of physical enclosure breach, anti-tamper sensor activation, or airframe capture.</t>
        </is>
      </c>
      <c r="C16" s="4" t="inlineStr">
        <is>
          <t>Functional</t>
        </is>
      </c>
      <c r="D16" s="3" t="inlineStr">
        <is>
          <t>Cybersecurity &amp; Data Sovereignty</t>
        </is>
      </c>
      <c r="E16" s="3" t="inlineStr">
        <is>
          <t>AVT-AETH-2026-X9</t>
        </is>
      </c>
      <c r="F16" s="3" t="inlineStr">
        <is>
          <t>Section 1.2, Section 6.1, Section 6.2 (p. 1, 6)</t>
        </is>
      </c>
      <c r="G16" s="3" t="inlineStr">
        <is>
          <t>Security daemon and hardware TPM 2.0 enclave enforce cryptographically enforced auto-destruct wiped keys and zero-trace RAM purging upon capture.</t>
        </is>
      </c>
      <c r="H16" s="4" t="inlineStr">
        <is>
          <t>Not Assigned</t>
        </is>
      </c>
      <c r="I16" s="4" t="inlineStr">
        <is>
          <t>Test</t>
        </is>
      </c>
      <c r="J16" s="5" t="inlineStr">
        <is>
          <t>Proposed for Review</t>
        </is>
      </c>
      <c r="K16" s="3" t="inlineStr">
        <is>
          <t>Flash erasure execution time budget (milliseconds) and tamper sensor electrical voltage thresholds not specified.</t>
        </is>
      </c>
      <c r="L16" s="3" t="inlineStr">
        <is>
          <t>Layer H (Cybersecurity Enclave).</t>
        </is>
      </c>
    </row>
    <row r="17" ht="42" customHeight="1">
      <c r="A17" s="6" t="inlineStr">
        <is>
          <t>DRAFT-P-001</t>
        </is>
      </c>
      <c r="B17" s="7" t="inlineStr">
        <is>
          <t>The system VanguardFlight OS and PX4 flight control loops shall achieve deterministic inner-loop control latency of under 250 microseconds (&lt; 250 µs) on bare-metal ARM Cortex-M7 hardware.</t>
        </is>
      </c>
      <c r="C17" s="8" t="inlineStr">
        <is>
          <t>Performance</t>
        </is>
      </c>
      <c r="D17" s="7" t="inlineStr">
        <is>
          <t>Avionics &amp; Control Timing</t>
        </is>
      </c>
      <c r="E17" s="7" t="inlineStr">
        <is>
          <t>AVT-AETH-2026-X9</t>
        </is>
      </c>
      <c r="F17" s="7" t="inlineStr">
        <is>
          <t>Section 1.1, Section 10 (Tier 3 Exit Criteria) (p. 1, 10)</t>
        </is>
      </c>
      <c r="G17" s="7" t="inlineStr">
        <is>
          <t>Explicitly mandates 'achieving deterministic latency under 250 microseconds' and Tier 3 exit criteria: 'Inner loop latency &lt; 250 µs'.</t>
        </is>
      </c>
      <c r="H17" s="8" t="inlineStr">
        <is>
          <t>Not Assigned</t>
        </is>
      </c>
      <c r="I17" s="8" t="inlineStr">
        <is>
          <t>Test</t>
        </is>
      </c>
      <c r="J17" s="5" t="inlineStr">
        <is>
          <t>Proposed for Review</t>
        </is>
      </c>
      <c r="K17" s="7" t="inlineStr">
        <is>
          <t>Inner-loop latency measurement jitter window and CAN-BUS bus loading test profiles need definition.</t>
        </is>
      </c>
      <c r="L17" s="7" t="inlineStr">
        <is>
          <t>Explicit numerical threshold in blueprint.</t>
        </is>
      </c>
    </row>
    <row r="18" ht="42" customHeight="1">
      <c r="A18" s="2" t="inlineStr">
        <is>
          <t>DRAFT-P-002</t>
        </is>
      </c>
      <c r="B18" s="3" t="inlineStr">
        <is>
          <t>The airframe, aerodynamics, and propulsion subsystems shall sustain operational flight at a service ceiling of up to 6,500 meters Above Mean Sea Level (AMSL).</t>
        </is>
      </c>
      <c r="C18" s="4" t="inlineStr">
        <is>
          <t>Performance</t>
        </is>
      </c>
      <c r="D18" s="3" t="inlineStr">
        <is>
          <t>Aerodynamics &amp; Operating Regime</t>
        </is>
      </c>
      <c r="E18" s="3" t="inlineStr">
        <is>
          <t>AVT-AETH-2026-X9</t>
        </is>
      </c>
      <c r="F18" s="3" t="inlineStr">
        <is>
          <t>Executive Summary (Operating Regimes) (p. 0/1)</t>
        </is>
      </c>
      <c r="G18" s="3" t="inlineStr">
        <is>
          <t>Explicitly specifies 'Operational ceiling 6,500m AMSL' under Project Overview Specifications.</t>
        </is>
      </c>
      <c r="H18" s="4" t="inlineStr">
        <is>
          <t>Not Assigned</t>
        </is>
      </c>
      <c r="I18" s="4" t="inlineStr">
        <is>
          <t>Test</t>
        </is>
      </c>
      <c r="J18" s="5" t="inlineStr">
        <is>
          <t>Proposed for Review</t>
        </is>
      </c>
      <c r="K18" s="3" t="inlineStr">
        <is>
          <t>Maximum climb rate at 6,500m AMSL and service ceiling margin not defined.</t>
        </is>
      </c>
      <c r="L18" s="3" t="inlineStr">
        <is>
          <t>Explicit numerical threshold in blueprint.</t>
        </is>
      </c>
    </row>
    <row r="19" ht="42" customHeight="1">
      <c r="A19" s="6" t="inlineStr">
        <is>
          <t>DRAFT-P-003</t>
        </is>
      </c>
      <c r="B19" s="7" t="inlineStr">
        <is>
          <t>The system flight stabilization and airframe structure shall sustain stable controlled flight under localized mountain wind shear of up to 25 meters per second (25 m/s).</t>
        </is>
      </c>
      <c r="C19" s="8" t="inlineStr">
        <is>
          <t>Performance</t>
        </is>
      </c>
      <c r="D19" s="7" t="inlineStr">
        <is>
          <t>Aerodynamics &amp; Flight Stability</t>
        </is>
      </c>
      <c r="E19" s="7" t="inlineStr">
        <is>
          <t>AVT-AETH-2026-X9</t>
        </is>
      </c>
      <c r="F19" s="7" t="inlineStr">
        <is>
          <t>Executive Summary (Operating Regimes) (p. 0/1)</t>
        </is>
      </c>
      <c r="G19" s="7" t="inlineStr">
        <is>
          <t>Explicitly specifies 'wind shear up to 25 m/s' under Project Overview Specifications.</t>
        </is>
      </c>
      <c r="H19" s="8" t="inlineStr">
        <is>
          <t>Not Assigned</t>
        </is>
      </c>
      <c r="I19" s="8" t="inlineStr">
        <is>
          <t>Test</t>
        </is>
      </c>
      <c r="J19" s="5" t="inlineStr">
        <is>
          <t>Proposed for Review</t>
        </is>
      </c>
      <c r="K19" s="7" t="inlineStr">
        <is>
          <t>Maximum gust duration at 25 m/s and angular attitude excursion limits need definition.</t>
        </is>
      </c>
      <c r="L19" s="7" t="inlineStr">
        <is>
          <t>Explicit numerical threshold in blueprint.</t>
        </is>
      </c>
    </row>
    <row r="20" ht="42" customHeight="1">
      <c r="A20" s="2" t="inlineStr">
        <is>
          <t>DRAFT-P-004</t>
        </is>
      </c>
      <c r="B20" s="3" t="inlineStr">
        <is>
          <t>The system electronics, avionics, brushless propulsion motors, and self-heating battery management cells shall maintain nominal operation in ambient temperatures down to -30°C.</t>
        </is>
      </c>
      <c r="C20" s="4" t="inlineStr">
        <is>
          <t>Performance</t>
        </is>
      </c>
      <c r="D20" s="3" t="inlineStr">
        <is>
          <t>Environmental &amp; Thermal</t>
        </is>
      </c>
      <c r="E20" s="3" t="inlineStr">
        <is>
          <t>AVT-AETH-2026-X9</t>
        </is>
      </c>
      <c r="F20" s="3" t="inlineStr">
        <is>
          <t>Executive Summary, Section 10 (Tier 5 Exit Criteria) (p. 0/1, 10)</t>
        </is>
      </c>
      <c r="G20" s="3" t="inlineStr">
        <is>
          <t>Specifications explicitly mandate 'temperatures down to -30°C' and Tier 5 chamber testing down to -30°C with nominal electrical draw.</t>
        </is>
      </c>
      <c r="H20" s="4" t="inlineStr">
        <is>
          <t>Not Assigned</t>
        </is>
      </c>
      <c r="I20" s="4" t="inlineStr">
        <is>
          <t>Test</t>
        </is>
      </c>
      <c r="J20" s="5" t="inlineStr">
        <is>
          <t>Proposed for Review</t>
        </is>
      </c>
      <c r="K20" s="3" t="inlineStr">
        <is>
          <t>Maximum high-temperature operating limit (+50°C?) and battery self-heating power consumption budget not stated.</t>
        </is>
      </c>
      <c r="L20" s="3" t="inlineStr">
        <is>
          <t>Explicit numerical threshold in blueprint.</t>
        </is>
      </c>
    </row>
    <row r="21" ht="42" customHeight="1">
      <c r="A21" s="6" t="inlineStr">
        <is>
          <t>DRAFT-P-005</t>
        </is>
      </c>
      <c r="B21" s="7" t="inlineStr">
        <is>
          <t>The system AetherNav VIO Matrix shall sustain continuous drift-bounded positional accuracy with a position error of less than 0.8 meters per hour (&lt; 0.8m error per hour) during GNSS-denied flight.</t>
        </is>
      </c>
      <c r="C21" s="8" t="inlineStr">
        <is>
          <t>Performance</t>
        </is>
      </c>
      <c r="D21" s="7" t="inlineStr">
        <is>
          <t>Navigation &amp; Guidance</t>
        </is>
      </c>
      <c r="E21" s="7" t="inlineStr">
        <is>
          <t>AVT-AETH-2026-X9</t>
        </is>
      </c>
      <c r="F21" s="7" t="inlineStr">
        <is>
          <t>Section 2.2, Section 10 (Tier 8 Exit Criteria) (p. 2, 10)</t>
        </is>
      </c>
      <c r="G21" s="7" t="inlineStr">
        <is>
          <t>Explicitly specifies 'Sustain continuous drift-bounded positional accuracy (&lt;0.8m error per hour) via VIO and DEM matching' and Tier 8 exit criteria.</t>
        </is>
      </c>
      <c r="H21" s="8" t="inlineStr">
        <is>
          <t>Not Assigned</t>
        </is>
      </c>
      <c r="I21" s="8" t="inlineStr">
        <is>
          <t>Test</t>
        </is>
      </c>
      <c r="J21" s="5" t="inlineStr">
        <is>
          <t>Proposed for Review</t>
        </is>
      </c>
      <c r="K21" s="7" t="inlineStr">
        <is>
          <t>Statistical confidence interval (e.g. 1-sigma vs 2-sigma CEP) for the &lt;0.8m/hr metric needs formal definition.</t>
        </is>
      </c>
      <c r="L21" s="7" t="inlineStr">
        <is>
          <t>Explicit numerical threshold in blueprint.</t>
        </is>
      </c>
    </row>
    <row r="22" ht="42" customHeight="1">
      <c r="A22" s="2" t="inlineStr">
        <is>
          <t>DRAFT-P-006</t>
        </is>
      </c>
      <c r="B22" s="3" t="inlineStr">
        <is>
          <t>The AetherBeam Free-Space Optical transceiver shall deliver a jam-proof data throughput of at least 1.2 Gbps over an optical line-of-sight range of up to 18 kilometers.</t>
        </is>
      </c>
      <c r="C22" s="4" t="inlineStr">
        <is>
          <t>Performance</t>
        </is>
      </c>
      <c r="D22" s="3" t="inlineStr">
        <is>
          <t>Optical Communications</t>
        </is>
      </c>
      <c r="E22" s="3" t="inlineStr">
        <is>
          <t>AVT-AETH-2026-X9</t>
        </is>
      </c>
      <c r="F22" s="3" t="inlineStr">
        <is>
          <t>Section 1.1, Section 11.2 (p. 1, 11)</t>
        </is>
      </c>
      <c r="G22" s="3" t="inlineStr">
        <is>
          <t>Explicitly specifies 'Directional 1550nm Free-Space Optical (FSO) laser array providing jam-proof 1.2 Gbps data throughput up to 18 km line-of-sight'.</t>
        </is>
      </c>
      <c r="H22" s="4" t="inlineStr">
        <is>
          <t>Not Assigned</t>
        </is>
      </c>
      <c r="I22" s="4" t="inlineStr">
        <is>
          <t>Test</t>
        </is>
      </c>
      <c r="J22" s="5" t="inlineStr">
        <is>
          <t>Proposed for Review</t>
        </is>
      </c>
      <c r="K22" s="3" t="inlineStr">
        <is>
          <t>Optical link margin (dB) and bit error rate (BER) thresholds across 18 km in fog/snow conditions not quantified.</t>
        </is>
      </c>
      <c r="L22" s="3" t="inlineStr">
        <is>
          <t>Explicit numerical parameters in blueprint.</t>
        </is>
      </c>
    </row>
    <row r="23" ht="42" customHeight="1">
      <c r="A23" s="6" t="inlineStr">
        <is>
          <t>DRAFT-P-007</t>
        </is>
      </c>
      <c r="B23" s="7" t="inlineStr">
        <is>
          <t>The AeroCore Edge-AI subsystem shall integrate heterogeneous GPU/NPU hardware providing a total processing capacity of 275 TOPS (including 32 TOPS dedicated tensor cores) and 64GB RAM via an Nvidia Jetson Orin Industrial SOM.</t>
        </is>
      </c>
      <c r="C23" s="8" t="inlineStr">
        <is>
          <t>Performance</t>
        </is>
      </c>
      <c r="D23" s="7" t="inlineStr">
        <is>
          <t>Embedded Compute Hardware</t>
        </is>
      </c>
      <c r="E23" s="7" t="inlineStr">
        <is>
          <t>AVT-AETH-2026-X9</t>
        </is>
      </c>
      <c r="F23" s="7" t="inlineStr">
        <is>
          <t>Section 1.1, Section 6.1, Section 11.2 (p. 1, 6, 11)</t>
        </is>
      </c>
      <c r="G23" s="7" t="inlineStr">
        <is>
          <t>Specifications mandate 'Nvidia Jetson Orin Industrial SOM (64GB RAM, 275 TOPS compute rating)' with 32 TOPS tensor blocks.</t>
        </is>
      </c>
      <c r="H23" s="8" t="inlineStr">
        <is>
          <t>Not Assigned</t>
        </is>
      </c>
      <c r="I23" s="8" t="inlineStr">
        <is>
          <t>Inspection</t>
        </is>
      </c>
      <c r="J23" s="5" t="inlineStr">
        <is>
          <t>Proposed for Review</t>
        </is>
      </c>
      <c r="K23" s="7" t="inlineStr">
        <is>
          <t>SOM operating power dissipation profile (e.g. 40W vs 60W mode) under high-altitude low air density cooling not stated.</t>
        </is>
      </c>
      <c r="L23" s="7" t="inlineStr">
        <is>
          <t>Explicit hardware specifications in blueprint.</t>
        </is>
      </c>
    </row>
    <row r="24" ht="42" customHeight="1">
      <c r="A24" s="2" t="inlineStr">
        <is>
          <t>DRAFT-P-008</t>
        </is>
      </c>
      <c r="B24" s="3" t="inlineStr">
        <is>
          <t>Onboard PyTorch visual neural models compiled via TensorRT 8.5 for 8-bit quantization (INT8) shall achieve real-time inference execution at a throughput of 60 frames per second (60 FPS).</t>
        </is>
      </c>
      <c r="C24" s="4" t="inlineStr">
        <is>
          <t>Performance</t>
        </is>
      </c>
      <c r="D24" s="3" t="inlineStr">
        <is>
          <t>Edge AI Optimization</t>
        </is>
      </c>
      <c r="E24" s="3" t="inlineStr">
        <is>
          <t>AVT-AETH-2026-X9</t>
        </is>
      </c>
      <c r="F24" s="3" t="inlineStr">
        <is>
          <t>Section 6.1 (TensorRT Acceleration), Section 6.2 (p. 6)</t>
        </is>
      </c>
      <c r="G24" s="3" t="inlineStr">
        <is>
          <t>Explicitly specifies 'PyTorch visual neural models compiled via TensorRT for 8-bit quantized low-latency inferencing at 60 FPS'.</t>
        </is>
      </c>
      <c r="H24" s="4" t="inlineStr">
        <is>
          <t>Not Assigned</t>
        </is>
      </c>
      <c r="I24" s="4" t="inlineStr">
        <is>
          <t>Test</t>
        </is>
      </c>
      <c r="J24" s="5" t="inlineStr">
        <is>
          <t>Proposed for Review</t>
        </is>
      </c>
      <c r="K24" s="3" t="inlineStr">
        <is>
          <t>Input image resolution at 60 FPS (e.g. 640x640 vs 1080p) and inference batch size need confirmation.</t>
        </is>
      </c>
      <c r="L24" s="3" t="inlineStr">
        <is>
          <t>Explicit numerical framerate in blueprint.</t>
        </is>
      </c>
    </row>
    <row r="25" ht="42" customHeight="1">
      <c r="A25" s="6" t="inlineStr">
        <is>
          <t>DRAFT-P-009</t>
        </is>
      </c>
      <c r="B25" s="7" t="inlineStr">
        <is>
          <t>The faceted carbon monocoque airframe with embedded radar-absorbing material (RAM) shall exhibit an estimated Radar Cross-Section (RCS) of less than 0.01 m² (&lt; 0.01 m²) across X and Ku radar frequency bands.</t>
        </is>
      </c>
      <c r="C25" s="8" t="inlineStr">
        <is>
          <t>Performance</t>
        </is>
      </c>
      <c r="D25" s="7" t="inlineStr">
        <is>
          <t>Stealth &amp; Signature Control</t>
        </is>
      </c>
      <c r="E25" s="7" t="inlineStr">
        <is>
          <t>AVT-AETH-2026-X9</t>
        </is>
      </c>
      <c r="F25" s="7" t="inlineStr">
        <is>
          <t>Section 2.2 (Objective Pillars) (p. 2)</t>
        </is>
      </c>
      <c r="G25" s="7" t="inlineStr">
        <is>
          <t>Explicitly specifies 'Faceted radar-absorbing airframe yielding an estimated RCS &lt; 0.01 m² across X and Ku radar bands'.</t>
        </is>
      </c>
      <c r="H25" s="8" t="inlineStr">
        <is>
          <t>Not Assigned</t>
        </is>
      </c>
      <c r="I25" s="8" t="inlineStr">
        <is>
          <t>Test</t>
        </is>
      </c>
      <c r="J25" s="5" t="inlineStr">
        <is>
          <t>Proposed for Review</t>
        </is>
      </c>
      <c r="K25" s="7" t="inlineStr">
        <is>
          <t>Specific azimuth and elevation aspect angle cones for the &lt;0.01 m² RCS threshold not detailed.</t>
        </is>
      </c>
      <c r="L25" s="7" t="inlineStr">
        <is>
          <t>Explicit numerical threshold in blueprint.</t>
        </is>
      </c>
    </row>
    <row r="26" ht="42" customHeight="1">
      <c r="A26" s="2" t="inlineStr">
        <is>
          <t>DRAFT-P-010</t>
        </is>
      </c>
      <c r="B26" s="3" t="inlineStr">
        <is>
          <t>The Software-Defined Radio (SDR) subsystem shall operate across a continuous wideband radio frequency monitoring range spanning from 10 MHz to 6 GHz.</t>
        </is>
      </c>
      <c r="C26" s="4" t="inlineStr">
        <is>
          <t>Performance</t>
        </is>
      </c>
      <c r="D26" s="3" t="inlineStr">
        <is>
          <t>Electronic Warfare Spectrum</t>
        </is>
      </c>
      <c r="E26" s="3" t="inlineStr">
        <is>
          <t>AVT-AETH-2026-X9</t>
        </is>
      </c>
      <c r="F26" s="3" t="inlineStr">
        <is>
          <t>Section 4 (DSP Domain), Section 7 (Module 04) (p. 4, 7)</t>
        </is>
      </c>
      <c r="G26" s="3" t="inlineStr">
        <is>
          <t>Explicitly specifies 'wideband SDR spectrum streams (10 MHz - 6 GHz)' and Module 04 RF antenna inputs.</t>
        </is>
      </c>
      <c r="H26" s="4" t="inlineStr">
        <is>
          <t>Not Assigned</t>
        </is>
      </c>
      <c r="I26" s="4" t="inlineStr">
        <is>
          <t>Test</t>
        </is>
      </c>
      <c r="J26" s="5" t="inlineStr">
        <is>
          <t>Proposed for Review</t>
        </is>
      </c>
      <c r="K26" s="3" t="inlineStr">
        <is>
          <t>Tuning step size, frequency switching speed, and receiver noise figure across 10 MHz–6 GHz not defined.</t>
        </is>
      </c>
      <c r="L26" s="3" t="inlineStr">
        <is>
          <t>Explicit frequency range in blueprint.</t>
        </is>
      </c>
    </row>
    <row r="27" ht="42" customHeight="1">
      <c r="A27" s="6" t="inlineStr">
        <is>
          <t>DRAFT-S-001</t>
        </is>
      </c>
      <c r="B27" s="7" t="inlineStr">
        <is>
          <t>The system flight control software shall execute on dedicated bare-metal ARM Cortex-M7 processors physically independent of the Linux Edge-AI compute module to ensure that edge software crashes cannot affect flight stability.</t>
        </is>
      </c>
      <c r="C27" s="8" t="inlineStr">
        <is>
          <t>Safety</t>
        </is>
      </c>
      <c r="D27" s="7" t="inlineStr">
        <is>
          <t>Architectural Isolation &amp; Airworthiness</t>
        </is>
      </c>
      <c r="E27" s="7" t="inlineStr">
        <is>
          <t>AVT-AETH-2026-X9</t>
        </is>
      </c>
      <c r="F27" s="7" t="inlineStr">
        <is>
          <t>Section 8.2 (Asynchronous Hardware Firewall) (p. 8)</t>
        </is>
      </c>
      <c r="G27" s="7" t="inlineStr">
        <is>
          <t>Explicitly specifies 'The flight control system runs on dedicated bare-metal ARM Cortex-M7 processors physically independent of the Linux Edge-AI compute module.'</t>
        </is>
      </c>
      <c r="H27" s="8" t="inlineStr">
        <is>
          <t>Not Assigned</t>
        </is>
      </c>
      <c r="I27" s="8" t="inlineStr">
        <is>
          <t>Inspection</t>
        </is>
      </c>
      <c r="J27" s="5" t="inlineStr">
        <is>
          <t>Proposed for Review</t>
        </is>
      </c>
      <c r="K27" s="7" t="inlineStr">
        <is>
          <t>None. Confirmed architectural requirement.</t>
        </is>
      </c>
      <c r="L27" s="7" t="inlineStr">
        <is>
          <t>Prevents AI process exceptions from compromising core flight stabilization.</t>
        </is>
      </c>
    </row>
    <row r="28" ht="42" customHeight="1">
      <c r="A28" s="2" t="inlineStr">
        <is>
          <t>DRAFT-S-002</t>
        </is>
      </c>
      <c r="B28" s="3" t="inlineStr">
        <is>
          <t>The system flight software lifecycle and airborne electronic hardware components shall comply with DO-178C (software) and DO-254 (airborne electronic hardware) safety and airworthiness standards.</t>
        </is>
      </c>
      <c r="C28" s="4" t="inlineStr">
        <is>
          <t>Safety</t>
        </is>
      </c>
      <c r="D28" s="3" t="inlineStr">
        <is>
          <t>Safety Certification &amp; Compliance</t>
        </is>
      </c>
      <c r="E28" s="3" t="inlineStr">
        <is>
          <t>AVT-AETH-2026-X9</t>
        </is>
      </c>
      <c r="F28" s="3" t="inlineStr">
        <is>
          <t>Section 4 (Systems Safety) (p. 4)</t>
        </is>
      </c>
      <c r="G28" s="3" t="inlineStr">
        <is>
          <t>Systems Safety discipline explicitly 'Manages DO-178C and DO-254 compliance tracking, hardware stress testing, and emergency return modes.'</t>
        </is>
      </c>
      <c r="H28" s="4" t="inlineStr">
        <is>
          <t>Not Assigned</t>
        </is>
      </c>
      <c r="I28" s="4" t="inlineStr">
        <is>
          <t>Inspection</t>
        </is>
      </c>
      <c r="J28" s="5" t="inlineStr">
        <is>
          <t>Proposed for Review</t>
        </is>
      </c>
      <c r="K28" s="3" t="inlineStr">
        <is>
          <t>Specific Design Assurance Level (DAL A, B, or C) allocation across subsystems needs formal publication in PSAC/PHAC.</t>
        </is>
      </c>
      <c r="L28" s="3" t="inlineStr">
        <is>
          <t>Military and civil aviation certification baseline.</t>
        </is>
      </c>
    </row>
    <row r="29" ht="42" customHeight="1">
      <c r="A29" s="6" t="inlineStr">
        <is>
          <t>DRAFT-S-003</t>
        </is>
      </c>
      <c r="B29" s="7" t="inlineStr">
        <is>
          <t>The system shall route autopilot-to-compute telemetry over redundant CAN-BUS 2.0B interfaces with hardware watchdog heartbeats, automatically executing internal failsafe procedures upon communication loss.</t>
        </is>
      </c>
      <c r="C29" s="8" t="inlineStr">
        <is>
          <t>Safety</t>
        </is>
      </c>
      <c r="D29" s="7" t="inlineStr">
        <is>
          <t>Failsafe &amp; Fault Tolerance</t>
        </is>
      </c>
      <c r="E29" s="7" t="inlineStr">
        <is>
          <t>AVT-AETH-2026-X9</t>
        </is>
      </c>
      <c r="F29" s="7" t="inlineStr">
        <is>
          <t>Section 6.2, Section 8.1 (p. 6, 8)</t>
        </is>
      </c>
      <c r="G29" s="7" t="inlineStr">
        <is>
          <t>Specifies redundant CAN-BUS micro-XRCE agents with 'Hardware watchdog heartbeats with auto-failsafe fallback.'</t>
        </is>
      </c>
      <c r="H29" s="8" t="inlineStr">
        <is>
          <t>Not Assigned</t>
        </is>
      </c>
      <c r="I29" s="8" t="inlineStr">
        <is>
          <t>Test</t>
        </is>
      </c>
      <c r="J29" s="5" t="inlineStr">
        <is>
          <t>Proposed for Review</t>
        </is>
      </c>
      <c r="K29" s="7" t="inlineStr">
        <is>
          <t>CAN-BUS baud rate and watchdog timeout window (milliseconds) before declaring link loss need definition.</t>
        </is>
      </c>
      <c r="L29" s="7" t="inlineStr">
        <is>
          <t>High-reliability fault-tolerant bus protocol.</t>
        </is>
      </c>
    </row>
    <row r="30" ht="42" customHeight="1">
      <c r="A30" s="2" t="inlineStr">
        <is>
          <t>DRAFT-S-004</t>
        </is>
      </c>
      <c r="B30" s="3" t="inlineStr">
        <is>
          <t>The AeroDrop cargo release mechanism shall be controlled via opto-isolated solid-state discrete I/O requiring dual high/low logic signals to prevent accidental payload drops during boot or fault states.</t>
        </is>
      </c>
      <c r="C30" s="4" t="inlineStr">
        <is>
          <t>Safety</t>
        </is>
      </c>
      <c r="D30" s="3" t="inlineStr">
        <is>
          <t>Effector &amp; Payload Interlocking</t>
        </is>
      </c>
      <c r="E30" s="3" t="inlineStr">
        <is>
          <t>AVT-AETH-2026-X9</t>
        </is>
      </c>
      <c r="F30" s="3" t="inlineStr">
        <is>
          <t>Section 8.1 (Interface Vector: Cargo Release) (p. 8)</t>
        </is>
      </c>
      <c r="G30" s="3" t="inlineStr">
        <is>
          <t>Table 8.1 mandates 'Opto-Isolated Discrete I/O', 'Dual High/Low Logic', and 'Dual-redundant interlocks preventing accidental payload drop.'</t>
        </is>
      </c>
      <c r="H30" s="4" t="inlineStr">
        <is>
          <t>Not Assigned</t>
        </is>
      </c>
      <c r="I30" s="4" t="inlineStr">
        <is>
          <t>Test</t>
        </is>
      </c>
      <c r="J30" s="5" t="inlineStr">
        <is>
          <t>Proposed for Review</t>
        </is>
      </c>
      <c r="K30" s="3" t="inlineStr">
        <is>
          <t>Discrete logic voltage thresholds and hardware interlock disarm timeout need definition.</t>
        </is>
      </c>
      <c r="L30" s="3" t="inlineStr">
        <is>
          <t>Module 06 and Layer G safety control.</t>
        </is>
      </c>
    </row>
    <row r="31" ht="42" customHeight="1">
      <c r="A31" s="6" t="inlineStr">
        <is>
          <t>DRAFT-S-005</t>
        </is>
      </c>
      <c r="B31" s="7" t="inlineStr">
        <is>
          <t>The system edge compute software architecture shall restrict all inter-process communications to local shared memory IPC queues under an air-gapped Vanguard-Linux OS, with complete prohibition of unvetted external network bridging.</t>
        </is>
      </c>
      <c r="C31" s="8" t="inlineStr">
        <is>
          <t>Safety</t>
        </is>
      </c>
      <c r="D31" s="7" t="inlineStr">
        <is>
          <t>Cyber-Physical Network Isolation</t>
        </is>
      </c>
      <c r="E31" s="7" t="inlineStr">
        <is>
          <t>AVT-AETH-2026-X9</t>
        </is>
      </c>
      <c r="F31" s="7" t="inlineStr">
        <is>
          <t>Section 6.1, Section 6.2 (p. 6)</t>
        </is>
      </c>
      <c r="G31" s="7" t="inlineStr">
        <is>
          <t>Ecosystem specifies 'Air-gapped Vanguard-Linux OS with real-time PREEMPT_RT patches' and 'isolated ROS 2 Humble nodes via shared memory IPC queues.'</t>
        </is>
      </c>
      <c r="H31" s="8" t="inlineStr">
        <is>
          <t>Not Assigned</t>
        </is>
      </c>
      <c r="I31" s="8" t="inlineStr">
        <is>
          <t>Inspection</t>
        </is>
      </c>
      <c r="J31" s="5" t="inlineStr">
        <is>
          <t>Proposed for Review</t>
        </is>
      </c>
      <c r="K31" s="7" t="inlineStr">
        <is>
          <t>None. Confirmed architectural requirement.</t>
        </is>
      </c>
      <c r="L31" s="7" t="inlineStr">
        <is>
          <t>Prevents unauthorized remote network infiltration.</t>
        </is>
      </c>
    </row>
    <row r="32" ht="42" customHeight="1">
      <c r="A32" s="2" t="inlineStr">
        <is>
          <t>DRAFT-S-006</t>
        </is>
      </c>
      <c r="B32" s="3" t="inlineStr">
        <is>
          <t>The system avionics and inter-module buses shall sustain continuous operation for at least 48 hours with zero bus collisions during benchtop integration (Tier 4) prior to receiving authorization for flight testing.</t>
        </is>
      </c>
      <c r="C32" s="4" t="inlineStr">
        <is>
          <t>Safety</t>
        </is>
      </c>
      <c r="D32" s="3" t="inlineStr">
        <is>
          <t>Verification &amp; Process Governance</t>
        </is>
      </c>
      <c r="E32" s="3" t="inlineStr">
        <is>
          <t>AVT-AETH-2026-X9</t>
        </is>
      </c>
      <c r="F32" s="3" t="inlineStr">
        <is>
          <t>Section 10 (Tier 4 Exit Criteria) (p. 10)</t>
        </is>
      </c>
      <c r="G32" s="3" t="inlineStr">
        <is>
          <t>Tier 4 Benchtop Integration explicitly establishes exit criteria as 'Zero bus collisions over 48h.'</t>
        </is>
      </c>
      <c r="H32" s="4" t="inlineStr">
        <is>
          <t>Not Assigned</t>
        </is>
      </c>
      <c r="I32" s="4" t="inlineStr">
        <is>
          <t>Test</t>
        </is>
      </c>
      <c r="J32" s="5" t="inlineStr">
        <is>
          <t>Proposed for Review</t>
        </is>
      </c>
      <c r="K32" s="3" t="inlineStr">
        <is>
          <t>Definition of bus collision logging mechanism and acceptable bus utilization percentage not specified.</t>
        </is>
      </c>
      <c r="L32" s="3" t="inlineStr">
        <is>
          <t>Explicit testing gate in blueprint.</t>
        </is>
      </c>
    </row>
    <row r="33" ht="42" customHeight="1">
      <c r="A33" s="6" t="inlineStr">
        <is>
          <t>DRAFT-D-001</t>
        </is>
      </c>
      <c r="B33" s="7" t="inlineStr">
        <is>
          <t>The engineering team shall baseline and freeze the comprehensive System Requirements Specification (SRS) governing all 18 core subsystems during Milestone 1 (Months 1–4).</t>
        </is>
      </c>
      <c r="C33" s="8" t="inlineStr">
        <is>
          <t>Documentation</t>
        </is>
      </c>
      <c r="D33" s="7" t="inlineStr">
        <is>
          <t>Requirements Engineering</t>
        </is>
      </c>
      <c r="E33" s="7" t="inlineStr">
        <is>
          <t>AVT-AETH-2026-X9</t>
        </is>
      </c>
      <c r="F33" s="7" t="inlineStr">
        <is>
          <t>Executive Summary, Section 9.1 (p. 0/1, 9)</t>
        </is>
      </c>
      <c r="G33" s="7" t="inlineStr">
        <is>
          <t>Milestone 1 mandates Digital Twin and software simulation freeze across Months 1–4.</t>
        </is>
      </c>
      <c r="H33" s="8" t="inlineStr">
        <is>
          <t>Not Assigned</t>
        </is>
      </c>
      <c r="I33" s="8" t="inlineStr">
        <is>
          <t>Inspection</t>
        </is>
      </c>
      <c r="J33" s="5" t="inlineStr">
        <is>
          <t>Proposed for Review</t>
        </is>
      </c>
      <c r="K33" s="7" t="inlineStr">
        <is>
          <t>SRS format standard (IEEE 29148) and formal customer approval cycle need confirmation.</t>
        </is>
      </c>
      <c r="L33" s="7" t="inlineStr">
        <is>
          <t>Milestone 1 deliverable.</t>
        </is>
      </c>
    </row>
    <row r="34" ht="42" customHeight="1">
      <c r="A34" s="2" t="inlineStr">
        <is>
          <t>DRAFT-D-002</t>
        </is>
      </c>
      <c r="B34" s="3" t="inlineStr">
        <is>
          <t>The engineering team shall maintain a configuration-controlled Project Scope Baseline document establishing system boundaries, subsystem decomposition, constraints, and open scope decisions.</t>
        </is>
      </c>
      <c r="C34" s="4" t="inlineStr">
        <is>
          <t>Documentation</t>
        </is>
      </c>
      <c r="D34" s="3" t="inlineStr">
        <is>
          <t>Configuration &amp; Scope Management</t>
        </is>
      </c>
      <c r="E34" s="3" t="inlineStr">
        <is>
          <t>Task Order TRAIN-002 &amp; P01_Project_Scope_Baseline.md</t>
        </is>
      </c>
      <c r="F34" s="3" t="inlineStr">
        <is>
          <t>Task Order Sec 1, Sec 4; Scope Baseline Sec 1</t>
        </is>
      </c>
      <c r="G34" s="3" t="inlineStr">
        <is>
          <t>Mandated deliverable under Task Order TRAIN-002 on 22 October 2026.</t>
        </is>
      </c>
      <c r="H34" s="4" t="inlineStr">
        <is>
          <t>Not Assigned</t>
        </is>
      </c>
      <c r="I34" s="4" t="inlineStr">
        <is>
          <t>Inspection</t>
        </is>
      </c>
      <c r="J34" s="5" t="inlineStr">
        <is>
          <t>Proposed for Review</t>
        </is>
      </c>
      <c r="K34" s="3" t="inlineStr">
        <is>
          <t>None. Delivered as P01_Project_Scope_Baseline.md.</t>
        </is>
      </c>
      <c r="L34" s="3" t="inlineStr">
        <is>
          <t>Deliverable 1 under Task Order TRAIN-002.</t>
        </is>
      </c>
    </row>
    <row r="35" ht="42" customHeight="1">
      <c r="A35" s="6" t="inlineStr">
        <is>
          <t>DRAFT-D-003</t>
        </is>
      </c>
      <c r="B35" s="7" t="inlineStr">
        <is>
          <t>The engineering team shall deliver an auditable, structured Initial Requirements Register workbook categorizing functional, performance, safety, and documentation requirements on 22 October 2026.</t>
        </is>
      </c>
      <c r="C35" s="8" t="inlineStr">
        <is>
          <t>Documentation</t>
        </is>
      </c>
      <c r="D35" s="7" t="inlineStr">
        <is>
          <t>Configuration &amp; Scope Management</t>
        </is>
      </c>
      <c r="E35" s="7" t="inlineStr">
        <is>
          <t>Task Order TRAIN-002</t>
        </is>
      </c>
      <c r="F35" s="7" t="inlineStr">
        <is>
          <t>Task Order Sec 1, Sec 2, Sec 5</t>
        </is>
      </c>
      <c r="G35" s="7" t="inlineStr">
        <is>
          <t>Mandated deliverable under Task Order TRAIN-002 on 22 October 2026.</t>
        </is>
      </c>
      <c r="H35" s="8" t="inlineStr">
        <is>
          <t>Not Assigned</t>
        </is>
      </c>
      <c r="I35" s="8" t="inlineStr">
        <is>
          <t>Inspection</t>
        </is>
      </c>
      <c r="J35" s="5" t="inlineStr">
        <is>
          <t>Proposed for Review</t>
        </is>
      </c>
      <c r="K35" s="7" t="inlineStr">
        <is>
          <t>None. Delivered as P02_Initial_Requirements_Register.xlsx.</t>
        </is>
      </c>
      <c r="L35" s="7" t="inlineStr">
        <is>
          <t>Deliverable 2 under Task Order TRAIN-002.</t>
        </is>
      </c>
    </row>
    <row r="36" ht="42" customHeight="1">
      <c r="A36" s="2" t="inlineStr">
        <is>
          <t>DRAFT-D-004</t>
        </is>
      </c>
      <c r="B36" s="3" t="inlineStr">
        <is>
          <t>The engineering team shall establish and maintain life-cycle data artifacts, requirement-to-code traceability, and verification evidence complying with DO-178C and DO-254 development standards.</t>
        </is>
      </c>
      <c r="C36" s="4" t="inlineStr">
        <is>
          <t>Documentation</t>
        </is>
      </c>
      <c r="D36" s="3" t="inlineStr">
        <is>
          <t>Certification &amp; Traceability</t>
        </is>
      </c>
      <c r="E36" s="3" t="inlineStr">
        <is>
          <t>AVT-AETH-2026-X9</t>
        </is>
      </c>
      <c r="F36" s="3" t="inlineStr">
        <is>
          <t>Section 4 (Systems Safety) (p. 4)</t>
        </is>
      </c>
      <c r="G36" s="3" t="inlineStr">
        <is>
          <t>Mandates DO-178C and DO-254 compliance tracking and requirement traceability.</t>
        </is>
      </c>
      <c r="H36" s="4" t="inlineStr">
        <is>
          <t>Not Assigned</t>
        </is>
      </c>
      <c r="I36" s="4" t="inlineStr">
        <is>
          <t>Inspection</t>
        </is>
      </c>
      <c r="J36" s="5" t="inlineStr">
        <is>
          <t>Proposed for Review</t>
        </is>
      </c>
      <c r="K36" s="3" t="inlineStr">
        <is>
          <t>Selection of formal requirements management and traceability tool (e.g. Polarion / DOORS) needs project sign-off.</t>
        </is>
      </c>
      <c r="L36" s="3" t="inlineStr">
        <is>
          <t>Core safety certification documentation.</t>
        </is>
      </c>
    </row>
    <row r="37" ht="42" customHeight="1">
      <c r="A37" s="6" t="inlineStr">
        <is>
          <t>DRAFT-D-005</t>
        </is>
      </c>
      <c r="B37" s="7" t="inlineStr">
        <is>
          <t>The engineering team shall compile formal test reports, bus collision audit logs over 48 hours, and sub-zero thermal profiling down to -30°C for all integrated benchtop HIL avionics during Milestone 2.</t>
        </is>
      </c>
      <c r="C37" s="8" t="inlineStr">
        <is>
          <t>Documentation</t>
        </is>
      </c>
      <c r="D37" s="7" t="inlineStr">
        <is>
          <t>Test &amp; Verification Reporting</t>
        </is>
      </c>
      <c r="E37" s="7" t="inlineStr">
        <is>
          <t>AVT-AETH-2026-X9</t>
        </is>
      </c>
      <c r="F37" s="7" t="inlineStr">
        <is>
          <t>Section 9.1, Section 10 (Tier 4, Tier 5) (p. 9, 10)</t>
        </is>
      </c>
      <c r="G37" s="7" t="inlineStr">
        <is>
          <t>Milestone 2 deliverables and Tiers 4/5 require documented testbed verification logs and thermal chamber reports.</t>
        </is>
      </c>
      <c r="H37" s="8" t="inlineStr">
        <is>
          <t>Not Assigned</t>
        </is>
      </c>
      <c r="I37" s="8" t="inlineStr">
        <is>
          <t>Inspection</t>
        </is>
      </c>
      <c r="J37" s="5" t="inlineStr">
        <is>
          <t>Proposed for Review</t>
        </is>
      </c>
      <c r="K37" s="7" t="inlineStr">
        <is>
          <t>Test reporting template and power margin thresholds need formalization in HIL Test Plan.</t>
        </is>
      </c>
      <c r="L37" s="7" t="inlineStr">
        <is>
          <t>Milestone 2 documentation deliverable.</t>
        </is>
      </c>
    </row>
    <row r="38" ht="42" customHeight="1">
      <c r="A38" s="2" t="inlineStr">
        <is>
          <t>DRAFT-D-006</t>
        </is>
      </c>
      <c r="B38" s="3" t="inlineStr">
        <is>
          <t>The project team shall compile comprehensive defense qualification dossiers, safety registers, failure mode analyses, and manufacturing documentation packages prior to Milestone 5 pre-induction field trials.</t>
        </is>
      </c>
      <c r="C38" s="4" t="inlineStr">
        <is>
          <t>Documentation</t>
        </is>
      </c>
      <c r="D38" s="3" t="inlineStr">
        <is>
          <t>Certification &amp; Deliverables</t>
        </is>
      </c>
      <c r="E38" s="3" t="inlineStr">
        <is>
          <t>AVT-AETH-2026-X9</t>
        </is>
      </c>
      <c r="F38" s="3" t="inlineStr">
        <is>
          <t>Section 9.1 (Milestone 5), Section 10 (Tier 10) (p. 9, 10)</t>
        </is>
      </c>
      <c r="G38" s="3" t="inlineStr">
        <is>
          <t>Milestone 5 deliverables mandate field evaluation dossiers and complete mission gate success records for defense evaluators.</t>
        </is>
      </c>
      <c r="H38" s="4" t="inlineStr">
        <is>
          <t>Not Assigned</t>
        </is>
      </c>
      <c r="I38" s="4" t="inlineStr">
        <is>
          <t>Inspection</t>
        </is>
      </c>
      <c r="J38" s="5" t="inlineStr">
        <is>
          <t>Proposed for Review</t>
        </is>
      </c>
      <c r="K38" s="3" t="inlineStr">
        <is>
          <t>Defense evaluation authority dossier formatting guidelines not detailed.</t>
        </is>
      </c>
      <c r="L38" s="3" t="inlineStr">
        <is>
          <t>Final project lifecycle documentation deliverable.</t>
        </is>
      </c>
    </row>
  </sheetData>
  <autoFilter ref="A1:L38"/>
  <dataValidations count="2">
    <dataValidation sqref="C2:C38" showDropDown="0" showInputMessage="0" showErrorMessage="0" allowBlank="0" type="list">
      <formula1>"Functional,Performance,Safety,Documentation"</formula1>
    </dataValidation>
    <dataValidation sqref="J2:J38" showDropDown="0" showInputMessage="0" showErrorMessage="0" allowBlank="0" type="list">
      <formula1>"Draft,Pending Clarification,Proposed for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65" customWidth="1" min="4" max="4"/>
  </cols>
  <sheetData>
    <row r="1" ht="24" customHeight="1">
      <c r="A1" s="9" t="inlineStr">
        <is>
          <t>AEROVANGUARD AV-X9 AETHERIS (BLOCK II) — REQUIREMENTS REGISTER SUMMARY</t>
        </is>
      </c>
    </row>
    <row r="2" ht="18" customHeight="1">
      <c r="A2" s="10" t="inlineStr">
        <is>
          <t>Project Reference: AVT-MOD-PROP-2026-R4 | Task Order: TRAIN-002 | Date: 22 October 2026 | Engineer: Priyanka Sharma</t>
        </is>
      </c>
    </row>
    <row r="3" ht="12" customHeight="1"/>
    <row r="4" ht="26" customHeight="1">
      <c r="A4" s="1" t="inlineStr">
        <is>
          <t>Requirement Category</t>
        </is>
      </c>
      <c r="B4" s="1" t="inlineStr">
        <is>
          <t>Number of Requirements (Count)</t>
        </is>
      </c>
      <c r="C4" s="1" t="inlineStr">
        <is>
          <t>Percentage of Total</t>
        </is>
      </c>
      <c r="D4" s="1" t="inlineStr">
        <is>
          <t>Category Description &amp; Focus</t>
        </is>
      </c>
    </row>
    <row r="5" ht="28" customHeight="1">
      <c r="A5" s="11" t="inlineStr">
        <is>
          <t>Functional</t>
        </is>
      </c>
      <c r="B5" s="12">
        <f>COUNTIF(Requirements_Register!C2:C38, "Functional")</f>
        <v/>
      </c>
      <c r="C5" s="13">
        <f>B5/$B$9</f>
        <v/>
      </c>
      <c r="D5" s="14" t="inlineStr">
        <is>
          <t>Core platform behaviors, 4K/LWIR sensor ingestion, AetherNav VIO, AeroCore AI, AetherBeam laser, and AeroDrop release.</t>
        </is>
      </c>
    </row>
    <row r="6" ht="28" customHeight="1">
      <c r="A6" s="11" t="inlineStr">
        <is>
          <t>Performance</t>
        </is>
      </c>
      <c r="B6" s="12">
        <f>COUNTIF(Requirements_Register!C2:C38, "Performance")</f>
        <v/>
      </c>
      <c r="C6" s="13">
        <f>B6/$B$9</f>
        <v/>
      </c>
      <c r="D6" s="14" t="inlineStr">
        <is>
          <t>Documented engineering thresholds: &lt;250 µs latency, 6,500m ceiling, 25 m/s wind shear, -30°C cold, &lt;0.8m/hr drift, 1.2 Gbps/18km FSO, 275 TOPS Orin SOM, 60 FPS.</t>
        </is>
      </c>
    </row>
    <row r="7" ht="28" customHeight="1">
      <c r="A7" s="11" t="inlineStr">
        <is>
          <t>Safety</t>
        </is>
      </c>
      <c r="B7" s="12">
        <f>COUNTIF(Requirements_Register!C2:C38, "Safety")</f>
        <v/>
      </c>
      <c r="C7" s="13">
        <f>B7/$B$9</f>
        <v/>
      </c>
      <c r="D7" s="14" t="inlineStr">
        <is>
          <t>Hardware firewalls, bare-metal STM32H7 isolation, DO-178C/DO-254 safety compliance, redundant CAN-BUS watchdog, and 48h zero-collision testing.</t>
        </is>
      </c>
    </row>
    <row r="8" ht="28" customHeight="1">
      <c r="A8" s="11" t="inlineStr">
        <is>
          <t>Documentation</t>
        </is>
      </c>
      <c r="B8" s="12">
        <f>COUNTIF(Requirements_Register!C2:C38, "Documentation")</f>
        <v/>
      </c>
      <c r="C8" s="13">
        <f>B8/$B$9</f>
        <v/>
      </c>
      <c r="D8" s="14" t="inlineStr">
        <is>
          <t>Mandated project artifacts, SRS freeze (M1), DO-178C/DO-254 traceability, HIL test reports, and defense qualification dossiers.</t>
        </is>
      </c>
    </row>
    <row r="9" ht="26" customHeight="1">
      <c r="A9" s="15" t="inlineStr">
        <is>
          <t>Total Requirements Count</t>
        </is>
      </c>
      <c r="B9" s="16">
        <f>SUM(B5:B8)</f>
        <v/>
      </c>
      <c r="C9" s="17">
        <f>SUM(C5:C8)</f>
        <v/>
      </c>
      <c r="D9" s="15" t="inlineStr">
        <is>
          <t>Complete count of all draft requirement records captured in initial register.</t>
        </is>
      </c>
    </row>
    <row r="10" ht="16" customHeight="1"/>
    <row r="11" ht="26" customHeight="1">
      <c r="A11" s="18" t="inlineStr">
        <is>
          <t>Status Breakdown</t>
        </is>
      </c>
      <c r="B11" s="18" t="inlineStr">
        <is>
          <t>Count</t>
        </is>
      </c>
      <c r="C11" s="18" t="inlineStr">
        <is>
          <t>Percentage of Total</t>
        </is>
      </c>
      <c r="D11" s="18" t="inlineStr">
        <is>
          <t>Status Definition &amp; Action Required</t>
        </is>
      </c>
    </row>
    <row r="12" ht="28" customHeight="1">
      <c r="A12" s="11" t="inlineStr">
        <is>
          <t>Proposed for Review</t>
        </is>
      </c>
      <c r="B12" s="12">
        <f>COUNTIF(Requirements_Register!J2:J38, "Proposed for Review")</f>
        <v/>
      </c>
      <c r="C12" s="13">
        <f>B12/$B$9</f>
        <v/>
      </c>
      <c r="D12" s="14" t="inlineStr">
        <is>
          <t>Grounded in technical blueprint AVT-AETH-2026-X9; ready for internal review by Chief Systems Architect.</t>
        </is>
      </c>
    </row>
    <row r="13" ht="28" customHeight="1">
      <c r="A13" s="11" t="inlineStr">
        <is>
          <t>Pending Clarification</t>
        </is>
      </c>
      <c r="B13" s="12">
        <f>COUNTIF(Requirements_Register!J2:J38, "Pending Clarification")</f>
        <v/>
      </c>
      <c r="C13" s="13">
        <f>B13/$B$9</f>
        <v/>
      </c>
      <c r="D13" s="14" t="inlineStr">
        <is>
          <t>Requirement identified from source, but detailed protocol or interface specification is pending.</t>
        </is>
      </c>
    </row>
    <row r="14" ht="28" customHeight="1">
      <c r="A14" s="11" t="inlineStr">
        <is>
          <t>Draft</t>
        </is>
      </c>
      <c r="B14" s="12">
        <f>COUNTIF(Requirements_Register!J2:J38, "Draft")</f>
        <v/>
      </c>
      <c r="C14" s="13">
        <f>B14/$B$9</f>
        <v/>
      </c>
      <c r="D14" s="14" t="inlineStr">
        <is>
          <t>Initial draft requirement entry under active authoring.</t>
        </is>
      </c>
    </row>
    <row r="15" ht="26" customHeight="1">
      <c r="A15" s="15" t="inlineStr">
        <is>
          <t>Total Categorized by Status</t>
        </is>
      </c>
      <c r="B15" s="16">
        <f>SUM(B12:B14)</f>
        <v/>
      </c>
      <c r="C15" s="17">
        <f>SUM(C12:C14)</f>
        <v/>
      </c>
      <c r="D15" s="15" t="inlineStr">
        <is>
          <t>Matches total count of primary requirements register.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8" customWidth="1" min="3" max="3"/>
    <col width="22" customWidth="1" min="4" max="4"/>
    <col width="28" customWidth="1" min="5" max="5"/>
    <col width="45" customWidth="1" min="6" max="6"/>
    <col width="45" customWidth="1" min="7" max="7"/>
  </cols>
  <sheetData>
    <row r="1" ht="28" customHeight="1">
      <c r="A1" s="1" t="inlineStr">
        <is>
          <t>Source Reference ID</t>
        </is>
      </c>
      <c r="B1" s="1" t="inlineStr">
        <is>
          <t>Document Title</t>
        </is>
      </c>
      <c r="C1" s="1" t="inlineStr">
        <is>
          <t>Document ID / Filename</t>
        </is>
      </c>
      <c r="D1" s="1" t="inlineStr">
        <is>
          <t>Version or Date</t>
        </is>
      </c>
      <c r="E1" s="1" t="inlineStr">
        <is>
          <t>Relevant Sections</t>
        </is>
      </c>
      <c r="F1" s="1" t="inlineStr">
        <is>
          <t>Information Used</t>
        </is>
      </c>
      <c r="G1" s="1" t="inlineStr">
        <is>
          <t>Limitations or Missing Information</t>
        </is>
      </c>
    </row>
    <row r="2" ht="55" customHeight="1">
      <c r="A2" s="2" t="inlineStr">
        <is>
          <t>SRC-01</t>
        </is>
      </c>
      <c r="B2" s="14" t="inlineStr">
        <is>
          <t>AV-X9 Aetheris Platform: Project Introduction &amp; System Architecture Overview</t>
        </is>
      </c>
      <c r="C2" s="19" t="inlineStr">
        <is>
          <t>AVT-AETH-2026-X9</t>
        </is>
      </c>
      <c r="D2" s="19" t="inlineStr">
        <is>
          <t>Version 1.0 (2026)</t>
        </is>
      </c>
      <c r="E2" s="14" t="inlineStr">
        <is>
          <t>Sections 1 through 11 (Pages 1–12)</t>
        </is>
      </c>
      <c r="F2" s="14" t="inlineStr">
        <is>
          <t>Primary engineering blueprint: 8-layer PECLF framework, 18 core subsystems, 10-Tier Verification Ladder, 18-month phased lifecycle, exact flight thresholds (6,500m ceiling, 25 m/s wind shear, -30°C cold), &lt;250 µs latency, 1550nm 1.2 Gbps FSO link (18 km), 275 TOPS Orin Industrial SOM, and DO-178C/DO-254 standards.</t>
        </is>
      </c>
      <c r="G2" s="14" t="inlineStr">
        <is>
          <t>Exact numerical Maximum Takeoff Weight (MTOW) and cargo payload mass in kg omitted from unclassified overview.</t>
        </is>
      </c>
    </row>
    <row r="3" ht="55" customHeight="1">
      <c r="A3" s="2" t="inlineStr">
        <is>
          <t>SRC-02</t>
        </is>
      </c>
      <c r="B3" s="14" t="inlineStr">
        <is>
          <t>Project Scope Baseline: AeroVanguard AV-X9 Aetheris (Block II) Tactical UAS</t>
        </is>
      </c>
      <c r="C3" s="19" t="inlineStr">
        <is>
          <t>P01_Project_Scope_Baseline.md</t>
        </is>
      </c>
      <c r="D3" s="19" t="inlineStr">
        <is>
          <t>Version 0.2 (22 October 2026)</t>
        </is>
      </c>
      <c r="E3" s="14" t="inlineStr">
        <is>
          <t>Sections 1 through 15 (Complete Document)</t>
        </is>
      </c>
      <c r="F3" s="14" t="inlineStr">
        <is>
          <t>System boundaries, 18 subsystem scope allocation, in-scope vs. out-of-scope boundaries, active project constraints register, assumptions register, inter-module interface standards, and open scope questions.</t>
        </is>
      </c>
      <c r="G3" s="14" t="inlineStr">
        <is>
          <t>Internal engineering baseline document drafted under Task TRAIN-002; pending formal peer review approval.</t>
        </is>
      </c>
    </row>
    <row r="4" ht="55" customHeight="1">
      <c r="A4" s="2" t="inlineStr">
        <is>
          <t>SRC-03</t>
        </is>
      </c>
      <c r="B4" s="14" t="inlineStr">
        <is>
          <t>Task Order: Requirements Baseline (TRAIN-002)</t>
        </is>
      </c>
      <c r="C4" s="19" t="inlineStr">
        <is>
          <t>TRAIN-002</t>
        </is>
      </c>
      <c r="D4" s="19" t="inlineStr">
        <is>
          <t>22 October 2026</t>
        </is>
      </c>
      <c r="E4" s="14" t="inlineStr">
        <is>
          <t>Sections 1 through 11</t>
        </is>
      </c>
      <c r="F4" s="14" t="inlineStr">
        <is>
          <t>Engineer assignment (Priyanka Sharma, Systems Requirements &amp; Configuration Engineer), task authorization boundaries, deliverable specifications (P01 and P02), workbook formatting guidelines, and training expenditure constraints.</t>
        </is>
      </c>
      <c r="G4" s="14" t="inlineStr">
        <is>
          <t>Authorized scope is strictly bounded to desk-based systems engineering, requirements modeling, and documentation; explicitly excludes physical hardware procurement, live flight tests, and paid cloud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2026-10-21T19:16:17Z</dcterms:created>
  <dcterms:modified xmlns:dcterms="http://purl.org/dc/terms/" xmlns:xsi="http://www.w3.org/2001/XMLSchema-instance" xsi:type="dcterms:W3CDTF">2026-10-21T19:16:17Z</dcterms:modified>
</cp:coreProperties>
</file>