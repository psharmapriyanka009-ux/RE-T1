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_Register" sheetId="1" state="visible" r:id="rId1"/>
    <sheet xmlns:r="http://schemas.openxmlformats.org/officeDocument/2006/relationships" name="ID_Traceability_Mapping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Review_Issues_and_Flags" sheetId="4" state="visible" r:id="rId4"/>
    <sheet xmlns:r="http://schemas.openxmlformats.org/officeDocument/2006/relationships" name="Source_References" sheetId="5" state="visible" r:id="rId5"/>
  </sheets>
  <definedNames>
    <definedName name="_xlnm._FilterDatabase" localSheetId="0" hidden="1">'Requirements_Register'!$A$1:$N$38</definedName>
    <definedName name="_xlnm._FilterDatabase" localSheetId="1" hidden="1">'ID_Traceability_Mapping'!$A$1:$H$38</definedName>
    <definedName name="_xlnm._FilterDatabase" localSheetId="3" hidden="1">'Review_Issues_and_Flags'!$A$1:$G$10</definedName>
    <definedName name="_xlnm._FilterDatabase" localSheetId="4" hidden="1">'Source_References'!$A$1:$G$5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22222"/>
      <sz val="9.5"/>
    </font>
    <font>
      <name val="Segoe UI"/>
      <b val="1"/>
      <color rgb="001B365D"/>
      <sz val="9.5"/>
    </font>
    <font>
      <name val="Segoe UI"/>
      <b val="1"/>
      <color rgb="00C00000"/>
      <sz val="9"/>
    </font>
    <font>
      <name val="Segoe UI"/>
      <i val="1"/>
      <color rgb="007F7F7F"/>
      <sz val="9"/>
    </font>
    <font>
      <name val="Segoe UI"/>
      <b val="1"/>
      <color rgb="00B25900"/>
      <sz val="9"/>
    </font>
    <font>
      <name val="Segoe UI"/>
      <b val="1"/>
      <color rgb="00385723"/>
      <sz val="9"/>
    </font>
    <font>
      <name val="Segoe UI"/>
      <b val="1"/>
      <color rgb="00FFFFFF"/>
      <sz val="12"/>
    </font>
    <font>
      <name val="Segoe UI"/>
      <i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4F7FA"/>
        <bgColor rgb="00F4F7FA"/>
      </patternFill>
    </fill>
    <fill>
      <patternFill patternType="solid">
        <fgColor rgb="00E2EFDA"/>
        <bgColor rgb="00E2EFDA"/>
      </patternFill>
    </fill>
    <fill>
      <patternFill patternType="solid">
        <fgColor rgb="002A52BE"/>
        <bgColor rgb="002A52BE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0F243E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164" fontId="2" fillId="6" borderId="2" applyAlignment="1" pivotButton="0" quotePrefix="0" xfId="0">
      <alignment horizontal="center" vertical="top" wrapText="1"/>
    </xf>
    <xf numFmtId="164" fontId="2" fillId="3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 wrapText="1"/>
    </xf>
    <xf numFmtId="164" fontId="3" fillId="9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left" vertical="top" wrapText="1"/>
    </xf>
    <xf numFmtId="0" fontId="1" fillId="8" borderId="0" pivotButton="0" quotePrefix="0" xfId="0"/>
    <xf numFmtId="0" fontId="1" fillId="2" borderId="0" pivotButton="0" quotePrefix="0" xfId="0"/>
    <xf numFmtId="0" fontId="3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70" customWidth="1" min="3" max="3"/>
    <col width="22" customWidth="1" min="4" max="4"/>
    <col width="30" customWidth="1" min="5" max="5"/>
    <col width="36" customWidth="1" min="6" max="6"/>
    <col width="55" customWidth="1" min="7" max="7"/>
    <col width="16" customWidth="1" min="8" max="8"/>
    <col width="24" customWidth="1" min="9" max="9"/>
    <col width="22" customWidth="1" min="10" max="10"/>
    <col width="38" customWidth="1" min="11" max="11"/>
    <col width="38" customWidth="1" min="12" max="12"/>
    <col width="18" customWidth="1" min="13" max="13"/>
    <col width="62" customWidth="1" min="14" max="14"/>
  </cols>
  <sheetData>
    <row r="1" ht="36" customHeight="1">
      <c r="A1" s="1" t="inlineStr">
        <is>
          <t>Requirement ID</t>
        </is>
      </c>
      <c r="B1" s="1" t="inlineStr">
        <is>
          <t>Requirement Title</t>
        </is>
      </c>
      <c r="C1" s="1" t="inlineStr">
        <is>
          <t>Requirement Description</t>
        </is>
      </c>
      <c r="D1" s="1" t="inlineStr">
        <is>
          <t>Requirement Category</t>
        </is>
      </c>
      <c r="E1" s="1" t="inlineStr">
        <is>
          <t>Requirement Type</t>
        </is>
      </c>
      <c r="F1" s="1" t="inlineStr">
        <is>
          <t>Source / Reference</t>
        </is>
      </c>
      <c r="G1" s="1" t="inlineStr">
        <is>
          <t>Rationale</t>
        </is>
      </c>
      <c r="H1" s="1" t="inlineStr">
        <is>
          <t>Priority</t>
        </is>
      </c>
      <c r="I1" s="1" t="inlineStr">
        <is>
          <t>Acceptance Criteria</t>
        </is>
      </c>
      <c r="J1" s="1" t="inlineStr">
        <is>
          <t>Verification Method</t>
        </is>
      </c>
      <c r="K1" s="1" t="inlineStr">
        <is>
          <t>Verification Reference / Test Case ID</t>
        </is>
      </c>
      <c r="L1" s="1" t="inlineStr">
        <is>
          <t>Dependencies / Related Requirement IDs</t>
        </is>
      </c>
      <c r="M1" s="1" t="inlineStr">
        <is>
          <t>Status</t>
        </is>
      </c>
      <c r="N1" s="1" t="inlineStr">
        <is>
          <t>Review Notes</t>
        </is>
      </c>
    </row>
    <row r="2" ht="104" customHeight="1">
      <c r="A2" s="2" t="inlineStr">
        <is>
          <t>REQ-F-001</t>
        </is>
      </c>
      <c r="B2" s="3" t="inlineStr">
        <is>
          <t>Multi-Spectral EO/IR Video Ingress &amp; Synchronization</t>
        </is>
      </c>
      <c r="C2" s="3" t="inlineStr">
        <is>
          <t>The system shall capture and hardware-synchronize daylight optical CMOS video and uncooled Long-Wave Infrared (LWIR) bolometer thermal video streams via high-speed MIPI-CSI camera interfaces routed directly to edge compute memory without host CPU overhead.</t>
        </is>
      </c>
      <c r="D2" s="4" t="inlineStr">
        <is>
          <t>Functional</t>
        </is>
      </c>
      <c r="E2" s="3" t="inlineStr">
        <is>
          <t>Perception &amp; Ingress</t>
        </is>
      </c>
      <c r="F2" s="3" t="inlineStr">
        <is>
          <t>REA-T1-OVERVIEW-2026-V1.0 [Sec 7 (Mod 02), Sec 8.2 (p. 8-9)]; P02 [DRAFT-F-001]</t>
        </is>
      </c>
      <c r="G2" s="3" t="inlineStr">
        <is>
          <t>Hardware-synchronized daylight and thermal imagery is essential for continuous day/night reconnaissance, target tracking, and visual navigation through mountain fog, haze, and dust.</t>
        </is>
      </c>
      <c r="H2" s="5" t="inlineStr">
        <is>
          <t>Critical</t>
        </is>
      </c>
      <c r="I2" s="6" t="inlineStr">
        <is>
          <t>Pending Definition</t>
        </is>
      </c>
      <c r="J2" s="4" t="inlineStr">
        <is>
          <t>Demonstration</t>
        </is>
      </c>
      <c r="K2" s="6" t="inlineStr">
        <is>
          <t>Pending Definition</t>
        </is>
      </c>
      <c r="L2" s="4" t="inlineStr">
        <is>
          <t>REQ-P-007, REQ-S-005</t>
        </is>
      </c>
      <c r="M2" s="7" t="inlineStr">
        <is>
          <t>Under Review</t>
        </is>
      </c>
      <c r="N2" s="3" t="inlineStr">
        <is>
          <t>Optical CMOS sensor FOV, zoom ratios, and detector part numbers require hardware freeze. P02 cited Sony CMOS &amp; FLIR Boson; REA-T1 specifies modular sovereign optoelectronics.</t>
        </is>
      </c>
    </row>
    <row r="3" ht="104" customHeight="1">
      <c r="A3" s="8" t="inlineStr">
        <is>
          <t>REQ-F-002</t>
        </is>
      </c>
      <c r="B3" s="9" t="inlineStr">
        <is>
          <t>Subsurface Micro-GPR Raw Data Ingress &amp; Buffering</t>
        </is>
      </c>
      <c r="C3" s="9" t="inlineStr">
        <is>
          <t>The system shall capture and stream 16-bit IQ complex radar samples from an onboard micro-Ground Penetrating Radar (GPR) antenna over high-speed SPI / USB 3.0 interfaces into prioritized DSP memory ring buffers to detect subsurface anomalies.</t>
        </is>
      </c>
      <c r="D3" s="10" t="inlineStr">
        <is>
          <t>Functional</t>
        </is>
      </c>
      <c r="E3" s="9" t="inlineStr">
        <is>
          <t>Subsurface Radar Sensing</t>
        </is>
      </c>
      <c r="F3" s="9" t="inlineStr">
        <is>
          <t>REA-T1-OVERVIEW-2026-V1.0 [Sec 3, Sec 7 (Mod 04), Sec 8.2 (p. 4, 8, 9)]; P02 [DRAFT-F-002]</t>
        </is>
      </c>
      <c r="G3" s="9" t="inlineStr">
        <is>
          <t>Micro-GPR sensing enables subsurface anomaly mapping across snow, ice, and mountain soil to identify buried infrastructure, avalanche victims, or hidden bunkers.</t>
        </is>
      </c>
      <c r="H3" s="7" t="inlineStr">
        <is>
          <t>High</t>
        </is>
      </c>
      <c r="I3" s="11" t="inlineStr">
        <is>
          <t>Pending Definition</t>
        </is>
      </c>
      <c r="J3" s="10" t="inlineStr">
        <is>
          <t>Test</t>
        </is>
      </c>
      <c r="K3" s="11" t="inlineStr">
        <is>
          <t>Pending Definition</t>
        </is>
      </c>
      <c r="L3" s="10" t="inlineStr">
        <is>
          <t>REQ-P-007, REQ-S-005</t>
        </is>
      </c>
      <c r="M3" s="7" t="inlineStr">
        <is>
          <t>Under Review</t>
        </is>
      </c>
      <c r="N3" s="9" t="inlineStr">
        <is>
          <t>Radar center frequency, RF emission masks, and soil/ice penetration depth specifications not defined in overview; to be quantified in sensor ICD.</t>
        </is>
      </c>
    </row>
    <row r="4" ht="86" customHeight="1">
      <c r="A4" s="2" t="inlineStr">
        <is>
          <t>REQ-F-003</t>
        </is>
      </c>
      <c r="B4" s="3" t="inlineStr">
        <is>
          <t>4-Channel Acoustic Array Ingress &amp; TDoA Bearing Estimation</t>
        </is>
      </c>
      <c r="C4" s="3" t="inlineStr">
        <is>
          <t>The system shall ingest acoustic air pressure signals from a synchronized 4-channel microphone array and execute Time-Difference-of-Arrival (TDoA) algorithms to calculate directional bearing estimates to acoustic impulse noises.</t>
        </is>
      </c>
      <c r="D4" s="4" t="inlineStr">
        <is>
          <t>Functional</t>
        </is>
      </c>
      <c r="E4" s="3" t="inlineStr">
        <is>
          <t>Acoustic Sensing &amp; DSP</t>
        </is>
      </c>
      <c r="F4" s="3" t="inlineStr">
        <is>
          <t>REA-T1-OVERVIEW-2026-V1.0 [Sec 4, Sec 7 (Mod 04), Sec 8.2 (p. 5, 8, 9)]; P02 [DRAFT-F-003]</t>
        </is>
      </c>
      <c r="G4" s="3" t="inlineStr">
        <is>
          <t>Passive acoustic direction finding provides covert bearing vectors to gunfire, artillery, and incoming enemy drones without radiating detectable electromagnetic emissions.</t>
        </is>
      </c>
      <c r="H4" s="7" t="inlineStr">
        <is>
          <t>High</t>
        </is>
      </c>
      <c r="I4" s="6" t="inlineStr">
        <is>
          <t>Pending Definition</t>
        </is>
      </c>
      <c r="J4" s="4" t="inlineStr">
        <is>
          <t>Demonstration</t>
        </is>
      </c>
      <c r="K4" s="6" t="inlineStr">
        <is>
          <t>Pending Definition</t>
        </is>
      </c>
      <c r="L4" s="4" t="inlineStr">
        <is>
          <t>REQ-P-007, REQ-F-009</t>
        </is>
      </c>
      <c r="M4" s="7" t="inlineStr">
        <is>
          <t>Under Review</t>
        </is>
      </c>
      <c r="N4" s="3" t="inlineStr">
        <is>
          <t>Acoustic sampling rate, wind shear noise cancellation filter profiles, and impulse detection sensitivity threshold require definition.</t>
        </is>
      </c>
    </row>
    <row r="5" ht="104" customHeight="1">
      <c r="A5" s="8" t="inlineStr">
        <is>
          <t>REQ-F-004</t>
        </is>
      </c>
      <c r="B5" s="9" t="inlineStr">
        <is>
          <t>GNSS-Denied Multi-Sensor VIO State Estimation</t>
        </is>
      </c>
      <c r="C5" s="9" t="inlineStr">
        <is>
          <t>The system shall maintain real-time 6-DOF vehicle pose and velocity estimation in GNSS-denied environments by fusing visual feature streams from tracking lenses, tactical-grade IMU angular rates, LiDAR range data, and onboard Digital Elevation Models (DEM) via extended Kalman filtering.</t>
        </is>
      </c>
      <c r="D5" s="10" t="inlineStr">
        <is>
          <t>Functional</t>
        </is>
      </c>
      <c r="E5" s="9" t="inlineStr">
        <is>
          <t>Navigation &amp; Autonomy</t>
        </is>
      </c>
      <c r="F5" s="9" t="inlineStr">
        <is>
          <t>REA-T1-OVERVIEW-2026-V1.0 [Sec 2.2, Sec 7 (Mod 01), Sec 8.2 (p. 3, 8, 9)]; P02 [DRAFT-F-004]</t>
        </is>
      </c>
      <c r="G5" s="9" t="inlineStr">
        <is>
          <t>Electronic warfare jamming routinely denies GPS/GNSS across contested border frontiers; VIO + DEM state estimation maintains drift-bounded tactical navigation autonomy.</t>
        </is>
      </c>
      <c r="H5" s="5" t="inlineStr">
        <is>
          <t>Critical</t>
        </is>
      </c>
      <c r="I5" s="11" t="inlineStr">
        <is>
          <t>Pending Definition</t>
        </is>
      </c>
      <c r="J5" s="10" t="inlineStr">
        <is>
          <t>Test</t>
        </is>
      </c>
      <c r="K5" s="11" t="inlineStr">
        <is>
          <t>Pending Definition</t>
        </is>
      </c>
      <c r="L5" s="10" t="inlineStr">
        <is>
          <t>REQ-P-005, REQ-S-001, REQ-S-003</t>
        </is>
      </c>
      <c r="M5" s="7" t="inlineStr">
        <is>
          <t>Under Review</t>
        </is>
      </c>
      <c r="N5" s="9" t="inlineStr">
        <is>
          <t>DEM database spatial resolution (1m vs 5m) and maximum recovery time following temporary visual feature occlusion need formal specification.</t>
        </is>
      </c>
    </row>
    <row r="6" ht="104" customHeight="1">
      <c r="A6" s="2" t="inlineStr">
        <is>
          <t>REQ-F-005</t>
        </is>
      </c>
      <c r="B6" s="3" t="inlineStr">
        <is>
          <t>Dual-Redundant Autopilot Attitude Control &amp; Waypoint Navigation</t>
        </is>
      </c>
      <c r="C6" s="3" t="inlineStr">
        <is>
          <t>The system shall execute real-time attitude PID control loops, autonomous waypoint navigation, and trajectory execution using Swadeshi ROS 2 middleware integrated with custom PX4 autopilot flight firmware running on dedicated 32-bit automotive/aerospace microcontrollers.</t>
        </is>
      </c>
      <c r="D6" s="4" t="inlineStr">
        <is>
          <t>Functional</t>
        </is>
      </c>
      <c r="E6" s="3" t="inlineStr">
        <is>
          <t>Flight Control &amp; Avionics</t>
        </is>
      </c>
      <c r="F6" s="3" t="inlineStr">
        <is>
          <t>REA-T1-OVERVIEW-2026-V1.0 [Sec 3, Sec 6, Sec 7 (Mod 01) (p. 3, 7, 8)]; P02 [DRAFT-F-005]</t>
        </is>
      </c>
      <c r="G6" s="3" t="inlineStr">
        <is>
          <t>Provides robust inner-loop stabilization and deterministic flight control resilient against severe high-altitude atmospheric disturbances.</t>
        </is>
      </c>
      <c r="H6" s="5" t="inlineStr">
        <is>
          <t>Critical</t>
        </is>
      </c>
      <c r="I6" s="6" t="inlineStr">
        <is>
          <t>Pending Definition</t>
        </is>
      </c>
      <c r="J6" s="4" t="inlineStr">
        <is>
          <t>Demonstration</t>
        </is>
      </c>
      <c r="K6" s="6" t="inlineStr">
        <is>
          <t>Pending Definition</t>
        </is>
      </c>
      <c r="L6" s="4" t="inlineStr">
        <is>
          <t>REQ-P-001, REQ-S-001, REQ-S-003</t>
        </is>
      </c>
      <c r="M6" s="7" t="inlineStr">
        <is>
          <t>Under Review</t>
        </is>
      </c>
      <c r="N6" s="3" t="inlineStr">
        <is>
          <t>Bank angle limits, climb/descent rate bounds, and auto-return triggers require definition in SSRD. P02 cited VanguardFlight OS; REA-T1 mandates Swadeshi ROS 2 + custom PX4.</t>
        </is>
      </c>
    </row>
    <row r="7" ht="86" customHeight="1">
      <c r="A7" s="8" t="inlineStr">
        <is>
          <t>REQ-F-006</t>
        </is>
      </c>
      <c r="B7" s="9" t="inlineStr">
        <is>
          <t>Onboard Real-Time Neural Object Detection &amp; Bounding Box Generation</t>
        </is>
      </c>
      <c r="C7" s="9" t="inlineStr">
        <is>
          <t>The system shall execute optimized neural network models directly onboard the heterogeneous edge compute matrix to detect tactical targets and generate bounding boxes from synchronized video streams without ground-cloud reliance.</t>
        </is>
      </c>
      <c r="D7" s="10" t="inlineStr">
        <is>
          <t>Functional</t>
        </is>
      </c>
      <c r="E7" s="9" t="inlineStr">
        <is>
          <t>Edge AI &amp; Vision</t>
        </is>
      </c>
      <c r="F7" s="9" t="inlineStr">
        <is>
          <t>REA-T1-OVERVIEW-2026-V1.0 [Sec 4, Sec 7 (Mod 03), Sec 8.2 (p. 5, 8, 9)]; P02 [DRAFT-F-006]</t>
        </is>
      </c>
      <c r="G7" s="9" t="inlineStr">
        <is>
          <t>Edge target extraction eliminates high-latency ground station telemetry dependence and functions instantaneously in electronically isolated airspace.</t>
        </is>
      </c>
      <c r="H7" s="7" t="inlineStr">
        <is>
          <t>High</t>
        </is>
      </c>
      <c r="I7" s="11" t="inlineStr">
        <is>
          <t>Pending Definition</t>
        </is>
      </c>
      <c r="J7" s="10" t="inlineStr">
        <is>
          <t>Demonstration</t>
        </is>
      </c>
      <c r="K7" s="11" t="inlineStr">
        <is>
          <t>Pending Definition</t>
        </is>
      </c>
      <c r="L7" s="10" t="inlineStr">
        <is>
          <t>REQ-F-001, REQ-P-007, REQ-P-008</t>
        </is>
      </c>
      <c r="M7" s="7" t="inlineStr">
        <is>
          <t>Under Review</t>
        </is>
      </c>
      <c r="N7" s="9" t="inlineStr">
        <is>
          <t>Target class taxonomy (vehicles, personnel, fortifications) and minimum acceptable mean Average Precision (mAP) not stated. P02 cited YOLOv8 on Jetson Orin; REA-T1 specifies edge neural models.</t>
        </is>
      </c>
    </row>
    <row r="8" ht="86" customHeight="1">
      <c r="A8" s="2" t="inlineStr">
        <is>
          <t>REQ-F-007</t>
        </is>
      </c>
      <c r="B8" s="3" t="inlineStr">
        <is>
          <t>Vision Transformer Pixel-Level Semantic Terrain Segmentation</t>
        </is>
      </c>
      <c r="C8" s="3" t="inlineStr">
        <is>
          <t>The system shall execute vision transformer and convolutional neural architectures on onboard edge acceleration hardware to generate real-time pixel-level semantic segmentation masks of ground terrain, obstacles, and camouflaged assets.</t>
        </is>
      </c>
      <c r="D8" s="4" t="inlineStr">
        <is>
          <t>Functional</t>
        </is>
      </c>
      <c r="E8" s="3" t="inlineStr">
        <is>
          <t>Edge AI &amp; Vision</t>
        </is>
      </c>
      <c r="F8" s="3" t="inlineStr">
        <is>
          <t>REA-T1-OVERVIEW-2026-V1.0 [Sec 2.2, Sec 4, Sec 7 (Mod 03) (p. 3, 5, 8)]; P02 [DRAFT-F-007]</t>
        </is>
      </c>
      <c r="G8" s="3" t="inlineStr">
        <is>
          <t>Pixel-level semantic classification enables autonomous obstacle avoidance, safe emergency landing zone identification, and exposure of camouflaged positions.</t>
        </is>
      </c>
      <c r="H8" s="7" t="inlineStr">
        <is>
          <t>High</t>
        </is>
      </c>
      <c r="I8" s="6" t="inlineStr">
        <is>
          <t>Pending Definition</t>
        </is>
      </c>
      <c r="J8" s="4" t="inlineStr">
        <is>
          <t>Demonstration</t>
        </is>
      </c>
      <c r="K8" s="6" t="inlineStr">
        <is>
          <t>Pending Definition</t>
        </is>
      </c>
      <c r="L8" s="4" t="inlineStr">
        <is>
          <t>REQ-F-001, REQ-P-007, REQ-P-008</t>
        </is>
      </c>
      <c r="M8" s="7" t="inlineStr">
        <is>
          <t>Under Review</t>
        </is>
      </c>
      <c r="N8" s="3" t="inlineStr">
        <is>
          <t>Required semantic terrain classes, input resolution, and minimum acceptable mean Intersection-over-Union (mIoU) require formal baseline definition.</t>
        </is>
      </c>
    </row>
    <row r="9" ht="86" customHeight="1">
      <c r="A9" s="8" t="inlineStr">
        <is>
          <t>REQ-F-008</t>
        </is>
      </c>
      <c r="B9" s="9" t="inlineStr">
        <is>
          <t>Temporal Visual Change Detection &amp; Ground Disturbance Flagging</t>
        </is>
      </c>
      <c r="C9" s="9" t="inlineStr">
        <is>
          <t>The system shall perform comparative neural inference between live video streams and onboard historical terrain embeddings to automatically detect and flag ground modifications, fortifications, or vehicle tracks.</t>
        </is>
      </c>
      <c r="D9" s="10" t="inlineStr">
        <is>
          <t>Functional</t>
        </is>
      </c>
      <c r="E9" s="9" t="inlineStr">
        <is>
          <t>Edge AI &amp; Intelligence</t>
        </is>
      </c>
      <c r="F9" s="9" t="inlineStr">
        <is>
          <t>REA-T1-OVERVIEW-2026-V1.0 [Sec 2.2, Sec 7 (Mod 03), Sec 8.2 (p. 3, 8, 9)]; P02 [DRAFT-F-008]</t>
        </is>
      </c>
      <c r="G9" s="9" t="inlineStr">
        <is>
          <t>Automated change detection instantly alerts tactical commanders to adversary trench digging, fortification erection, or vehicle movements between surveillance passes.</t>
        </is>
      </c>
      <c r="H9" s="7" t="inlineStr">
        <is>
          <t>High</t>
        </is>
      </c>
      <c r="I9" s="11" t="inlineStr">
        <is>
          <t>Pending Definition</t>
        </is>
      </c>
      <c r="J9" s="10" t="inlineStr">
        <is>
          <t>Demonstration</t>
        </is>
      </c>
      <c r="K9" s="11" t="inlineStr">
        <is>
          <t>Pending Definition</t>
        </is>
      </c>
      <c r="L9" s="10" t="inlineStr">
        <is>
          <t>REQ-F-001, REQ-P-007, REQ-F-007</t>
        </is>
      </c>
      <c r="M9" s="7" t="inlineStr">
        <is>
          <t>Under Review</t>
        </is>
      </c>
      <c r="N9" s="9" t="inlineStr">
        <is>
          <t>Historical embedding format, onboard geo-referencing tolerances, and minimum detectable ground disturbance dimensions need definition.</t>
        </is>
      </c>
    </row>
    <row r="10" ht="86" customHeight="1">
      <c r="A10" s="2" t="inlineStr">
        <is>
          <t>REQ-F-009</t>
        </is>
      </c>
      <c r="B10" s="3" t="inlineStr">
        <is>
          <t>Software-Defined Radio Wideband Spectrum Ingress &amp; RF Mapping</t>
        </is>
      </c>
      <c r="C10" s="3" t="inlineStr">
        <is>
          <t>The system shall ingest wideband radio frequency spectrum signals using Software-Defined Radio (SDR) to generate RF spectrum occupancy grids, characterize hostile radar signatures, and detect electronic emissions.</t>
        </is>
      </c>
      <c r="D10" s="4" t="inlineStr">
        <is>
          <t>Functional</t>
        </is>
      </c>
      <c r="E10" s="3" t="inlineStr">
        <is>
          <t>Electronic Warfare &amp; DSP</t>
        </is>
      </c>
      <c r="F10" s="3" t="inlineStr">
        <is>
          <t>REA-T1-OVERVIEW-2026-V1.0 [Sec 4, Sec 7 (Mod 04), Sec 8.2 (p. 5, 8, 9)]; P02 [DRAFT-F-009]</t>
        </is>
      </c>
      <c r="G10" s="3" t="inlineStr">
        <is>
          <t>Real-time RF awareness provides autonomous tactical intelligence on adversary radar locations, active jamming vectors, and battlefield communications.</t>
        </is>
      </c>
      <c r="H10" s="7" t="inlineStr">
        <is>
          <t>High</t>
        </is>
      </c>
      <c r="I10" s="6" t="inlineStr">
        <is>
          <t>Pending Definition</t>
        </is>
      </c>
      <c r="J10" s="4" t="inlineStr">
        <is>
          <t>Demonstration</t>
        </is>
      </c>
      <c r="K10" s="6" t="inlineStr">
        <is>
          <t>Pending Definition</t>
        </is>
      </c>
      <c r="L10" s="4" t="inlineStr">
        <is>
          <t>REQ-P-010, REQ-P-007, REQ-S-005</t>
        </is>
      </c>
      <c r="M10" s="7" t="inlineStr">
        <is>
          <t>Under Review</t>
        </is>
      </c>
      <c r="N10" s="3" t="inlineStr">
        <is>
          <t>Discrepancy flagged: REA-T1 Module 04 specifies 400 MHz to 6 GHz RF antenna inputs; P02 draft cited 10 MHz to 6 GHz. Antenna bandwidth and FFT bin resolution require clarification.</t>
        </is>
      </c>
    </row>
    <row r="11" ht="86" customHeight="1">
      <c r="A11" s="8" t="inlineStr">
        <is>
          <t>REQ-F-010</t>
        </is>
      </c>
      <c r="B11" s="9" t="inlineStr">
        <is>
          <t>Free-Space Optical (FSO) Directional Laser Telemetry Transmission</t>
        </is>
      </c>
      <c r="C11" s="9" t="inlineStr">
        <is>
          <t>The system shall modulate and transmit tactical mission intelligence, target coordinates, and compressed mission video to friendly optical ground terminals over a directional Free-Space Optical (FSO) laser communications link.</t>
        </is>
      </c>
      <c r="D11" s="10" t="inlineStr">
        <is>
          <t>Functional</t>
        </is>
      </c>
      <c r="E11" s="9" t="inlineStr">
        <is>
          <t>Optical Communications</t>
        </is>
      </c>
      <c r="F11" s="9" t="inlineStr">
        <is>
          <t>REA-T1-OVERVIEW-2026-V1.0 [Sec 2.2, Sec 7 (Mod 05), Sec 8.2 (p. 3, 8, 9)]; P02 [DRAFT-F-010]</t>
        </is>
      </c>
      <c r="G11" s="9" t="inlineStr">
        <is>
          <t>Directional FSO laser communications emit zero detectable RF energy and cannot be intercepted, jammed, or DF-located by enemy electronic warfare units.</t>
        </is>
      </c>
      <c r="H11" s="7" t="inlineStr">
        <is>
          <t>High</t>
        </is>
      </c>
      <c r="I11" s="11" t="inlineStr">
        <is>
          <t>Pending Definition</t>
        </is>
      </c>
      <c r="J11" s="10" t="inlineStr">
        <is>
          <t>Demonstration</t>
        </is>
      </c>
      <c r="K11" s="11" t="inlineStr">
        <is>
          <t>Pending Definition</t>
        </is>
      </c>
      <c r="L11" s="10" t="inlineStr">
        <is>
          <t>REQ-F-011, REQ-P-006, REQ-F-012</t>
        </is>
      </c>
      <c r="M11" s="7" t="inlineStr">
        <is>
          <t>Under Review</t>
        </is>
      </c>
      <c r="N11" s="9" t="inlineStr">
        <is>
          <t>Laser optical wavelength (1550nm band in P02) and eye-safety classification standards require alignment with ground station transceiver ICD.</t>
        </is>
      </c>
    </row>
    <row r="12" ht="104" customHeight="1">
      <c r="A12" s="2" t="inlineStr">
        <is>
          <t>REQ-F-011</t>
        </is>
      </c>
      <c r="B12" s="3" t="inlineStr">
        <is>
          <t>Closed-Loop Coarse-Fine FSO Laser Pointing, Acquisition &amp; Tracking</t>
        </is>
      </c>
      <c r="C12" s="3" t="inlineStr">
        <is>
          <t>The system shall maintain closed-loop coarse-fine laser pointing, acquisition, and tracking (PAT) using fast steering mechanisms driven by high-rate gyro coordinate offsets over serial interfaces to compensate for airframe vibration and wind shear.</t>
        </is>
      </c>
      <c r="D12" s="4" t="inlineStr">
        <is>
          <t>Functional</t>
        </is>
      </c>
      <c r="E12" s="3" t="inlineStr">
        <is>
          <t>Optical Communications &amp; GNC</t>
        </is>
      </c>
      <c r="F12" s="3" t="inlineStr">
        <is>
          <t>REA-T1-OVERVIEW-2026-V1.0 [Sec 4, Sec 7 (Mod 05), Sec 8.2 (p. 5, 8, 9)]; P02 [DRAFT-F-011]</t>
        </is>
      </c>
      <c r="G12" s="3" t="inlineStr">
        <is>
          <t>Dynamic airframe motions and turbulent mountain winds will decouple narrow laser beams without high-bandwidth closed-loop pointing compensation.</t>
        </is>
      </c>
      <c r="H12" s="7" t="inlineStr">
        <is>
          <t>High</t>
        </is>
      </c>
      <c r="I12" s="6" t="inlineStr">
        <is>
          <t>Pending Definition</t>
        </is>
      </c>
      <c r="J12" s="4" t="inlineStr">
        <is>
          <t>Test</t>
        </is>
      </c>
      <c r="K12" s="6" t="inlineStr">
        <is>
          <t>Pending Definition</t>
        </is>
      </c>
      <c r="L12" s="4" t="inlineStr">
        <is>
          <t>REQ-F-010, REQ-P-006, REQ-P-003</t>
        </is>
      </c>
      <c r="M12" s="7" t="inlineStr">
        <is>
          <t>Under Review</t>
        </is>
      </c>
      <c r="N12" s="3" t="inlineStr">
        <is>
          <t>Beam divergence angle, pointing jitter limit (microradians), and link re-acquisition latency budget need definition.</t>
        </is>
      </c>
    </row>
    <row r="13" ht="86" customHeight="1">
      <c r="A13" s="8" t="inlineStr">
        <is>
          <t>REQ-F-012</t>
        </is>
      </c>
      <c r="B13" s="9" t="inlineStr">
        <is>
          <t>Encrypted Frequency-Hopping SDR RF Telemetry Fallback</t>
        </is>
      </c>
      <c r="C13" s="9" t="inlineStr">
        <is>
          <t>The system shall establish and maintain secondary frequency-hopping, cryptographically encrypted SDR RF communications for command, control, and telemetry fallback when optical laser links are obscured or unavailable.</t>
        </is>
      </c>
      <c r="D13" s="10" t="inlineStr">
        <is>
          <t>Functional</t>
        </is>
      </c>
      <c r="E13" s="9" t="inlineStr">
        <is>
          <t>RF Communications</t>
        </is>
      </c>
      <c r="F13" s="9" t="inlineStr">
        <is>
          <t>REA-T1-OVERVIEW-2026-V1.0 [Sec 2.2, Sec 5.2 (Stage 5), Sec 7 (Mod 05) (p. 3, 6, 8)]; P02 [DRAFT-F-012]</t>
        </is>
      </c>
      <c r="G13" s="9" t="inlineStr">
        <is>
          <t>Dense cloud cover, snowstorms, or smoke will obscure laser beams; an encrypted RF fallback guarantees continuous command-and-control connectivity.</t>
        </is>
      </c>
      <c r="H13" s="5" t="inlineStr">
        <is>
          <t>Critical</t>
        </is>
      </c>
      <c r="I13" s="11" t="inlineStr">
        <is>
          <t>Pending Definition</t>
        </is>
      </c>
      <c r="J13" s="10" t="inlineStr">
        <is>
          <t>Demonstration</t>
        </is>
      </c>
      <c r="K13" s="11" t="inlineStr">
        <is>
          <t>Pending Definition</t>
        </is>
      </c>
      <c r="L13" s="10" t="inlineStr">
        <is>
          <t>REQ-F-010, REQ-S-003</t>
        </is>
      </c>
      <c r="M13" s="7" t="inlineStr">
        <is>
          <t>Under Review</t>
        </is>
      </c>
      <c r="N13" s="9" t="inlineStr">
        <is>
          <t>Optical-to-RF automatic switchover latency, frequency hopping rate, and encryption suite (e.g., AES-256-GCM) require specification.</t>
        </is>
      </c>
    </row>
    <row r="14" ht="86" customHeight="1">
      <c r="A14" s="2" t="inlineStr">
        <is>
          <t>REQ-F-013</t>
        </is>
      </c>
      <c r="B14" s="3" t="inlineStr">
        <is>
          <t>Wind-Compensated Ballistic Release &amp; Payload Delivery Actuation</t>
        </is>
      </c>
      <c r="C14" s="3" t="inlineStr">
        <is>
          <t>The system shall compute real-time ballistic release timing based on target coordinates, radar altitude, and real-time wind speed/direction estimations, and actuate mechanical unlatching of the precision cargo drop pod.</t>
        </is>
      </c>
      <c r="D14" s="4" t="inlineStr">
        <is>
          <t>Functional</t>
        </is>
      </c>
      <c r="E14" s="3" t="inlineStr">
        <is>
          <t>Payload &amp; Effectors</t>
        </is>
      </c>
      <c r="F14" s="3" t="inlineStr">
        <is>
          <t>REA-T1-OVERVIEW-2026-V1.0 [Sec 4, Sec 7 (Mod 06), Sec 8.2 (p. 4, 8, 9)]; P02 [DRAFT-F-013]</t>
        </is>
      </c>
      <c r="G14" s="3" t="inlineStr">
        <is>
          <t>High-altitude mountain outposts cut off by blizzards or hostile fire require pinpoint emergency aerial resupply of medical equipment, ammunition, or batteries.</t>
        </is>
      </c>
      <c r="H14" s="7" t="inlineStr">
        <is>
          <t>High</t>
        </is>
      </c>
      <c r="I14" s="6" t="inlineStr">
        <is>
          <t>Pending Definition</t>
        </is>
      </c>
      <c r="J14" s="4" t="inlineStr">
        <is>
          <t>Demonstration</t>
        </is>
      </c>
      <c r="K14" s="6" t="inlineStr">
        <is>
          <t>Pending Definition</t>
        </is>
      </c>
      <c r="L14" s="4" t="inlineStr">
        <is>
          <t>REQ-S-004, REQ-F-004</t>
        </is>
      </c>
      <c r="M14" s="7" t="inlineStr">
        <is>
          <t>Under Review</t>
        </is>
      </c>
      <c r="N14" s="3" t="inlineStr">
        <is>
          <t>Cargo pod payload mass capacity (kg), volumetric envelope, and delivery Circular Error Probable (CEP) threshold are pending definition.</t>
        </is>
      </c>
    </row>
    <row r="15" ht="86" customHeight="1">
      <c r="A15" s="8" t="inlineStr">
        <is>
          <t>REQ-SEC-001</t>
        </is>
      </c>
      <c r="B15" s="9" t="inlineStr">
        <is>
          <t>Cryptographic Hardware Root of Trust &amp; Multi-Stage Secure Boot</t>
        </is>
      </c>
      <c r="C15" s="9" t="inlineStr">
        <is>
          <t>The system shall cryptographically authenticate all bootloader binaries, operating system kernels, and robotic middleware nodes from hardware power-on using a dedicated Hardware Root of Trust and cryptographically signed boot keys.</t>
        </is>
      </c>
      <c r="D15" s="10" t="inlineStr">
        <is>
          <t>Security</t>
        </is>
      </c>
      <c r="E15" s="9" t="inlineStr">
        <is>
          <t>Cybersecurity &amp; Data Sovereignty</t>
        </is>
      </c>
      <c r="F15" s="9" t="inlineStr">
        <is>
          <t>REA-T1-OVERVIEW-2026-V1.0 [Sec 2.2, Sec 6.3, Sec 7 (Layer H) (p. 3, 7, 8)]; P02 [DRAFT-F-014]</t>
        </is>
      </c>
      <c r="G15" s="9" t="inlineStr">
        <is>
          <t>Guarantees firmware integrity and prevents remote malicious code execution, supply chain backdoors, or unauthorized system takeover.</t>
        </is>
      </c>
      <c r="H15" s="5" t="inlineStr">
        <is>
          <t>Critical</t>
        </is>
      </c>
      <c r="I15" s="11" t="inlineStr">
        <is>
          <t>Pending Definition</t>
        </is>
      </c>
      <c r="J15" s="10" t="inlineStr">
        <is>
          <t>Test</t>
        </is>
      </c>
      <c r="K15" s="11" t="inlineStr">
        <is>
          <t>Pending Definition</t>
        </is>
      </c>
      <c r="L15" s="10" t="inlineStr">
        <is>
          <t>REQ-SEC-002, REQ-S-005</t>
        </is>
      </c>
      <c r="M15" s="7" t="inlineStr">
        <is>
          <t>Under Review</t>
        </is>
      </c>
      <c r="N15" s="9" t="inlineStr">
        <is>
          <t>Reclassified from Functional (DRAFT-F-014) to Security (REQ-SEC-001) per Section 3 ID categories. Specific hardware enclave silicon part and PKI hierarchy pending definition.</t>
        </is>
      </c>
    </row>
    <row r="16" ht="86" customHeight="1">
      <c r="A16" s="2" t="inlineStr">
        <is>
          <t>REQ-SEC-002</t>
        </is>
      </c>
      <c r="B16" s="3" t="inlineStr">
        <is>
          <t>Hardware-Enforced Zero-Trace Memory Sanitization &amp; Anti-Tamper Wipe</t>
        </is>
      </c>
      <c r="C16" s="3" t="inlineStr">
        <is>
          <t>The system shall trigger irreversible hardware-enforced cryptographic flash memory erasure and instant zero-trace RAM purging upon detection of physical enclosure breach, anti-tamper sensor activation, or airframe capture.</t>
        </is>
      </c>
      <c r="D16" s="4" t="inlineStr">
        <is>
          <t>Security</t>
        </is>
      </c>
      <c r="E16" s="3" t="inlineStr">
        <is>
          <t>Cybersecurity &amp; Data Sovereignty</t>
        </is>
      </c>
      <c r="F16" s="3" t="inlineStr">
        <is>
          <t>REA-T1-OVERVIEW-2026-V1.0 [Sec 2.2, Sec 5.2 (Stage 6), Sec 6.3, Sec 7 (Layer H) (p. 3, 6, 7, 8)]; P02 [DRAFT-F-015]</t>
        </is>
      </c>
      <c r="G16" s="3" t="inlineStr">
        <is>
          <t>Prevents hostile exploitation, reverse engineering of sovereign algorithms, or extraction of cryptographic keys if the aircraft is brought down behind enemy lines.</t>
        </is>
      </c>
      <c r="H16" s="5" t="inlineStr">
        <is>
          <t>Critical</t>
        </is>
      </c>
      <c r="I16" s="6" t="inlineStr">
        <is>
          <t>Pending Definition</t>
        </is>
      </c>
      <c r="J16" s="4" t="inlineStr">
        <is>
          <t>Test</t>
        </is>
      </c>
      <c r="K16" s="6" t="inlineStr">
        <is>
          <t>Pending Definition</t>
        </is>
      </c>
      <c r="L16" s="4" t="inlineStr">
        <is>
          <t>REQ-SEC-001, REQ-S-005</t>
        </is>
      </c>
      <c r="M16" s="7" t="inlineStr">
        <is>
          <t>Under Review</t>
        </is>
      </c>
      <c r="N16" s="3" t="inlineStr">
        <is>
          <t>Reclassified from Functional (DRAFT-F-015) to Security (REQ-SEC-002). Flash sanitization execution time budget (ms) and tamper threshold voltages require formalization.</t>
        </is>
      </c>
    </row>
    <row r="17" ht="86" customHeight="1">
      <c r="A17" s="8" t="inlineStr">
        <is>
          <t>REQ-P-001</t>
        </is>
      </c>
      <c r="B17" s="9" t="inlineStr">
        <is>
          <t>Flight Control Inner-Loop Deterministic Execution Latency</t>
        </is>
      </c>
      <c r="C17" s="9" t="inlineStr">
        <is>
          <t>The flight control attitude loops and stabilization algorithms running on dedicated real-time microcontrollers shall achieve deterministic inner-loop execution latency of under 1 millisecond (&lt; 1 ms).</t>
        </is>
      </c>
      <c r="D17" s="10" t="inlineStr">
        <is>
          <t>Performance</t>
        </is>
      </c>
      <c r="E17" s="9" t="inlineStr">
        <is>
          <t>Avionics &amp; Control Timing</t>
        </is>
      </c>
      <c r="F17" s="9" t="inlineStr">
        <is>
          <t>REA-T1-OVERVIEW-2026-V1.0 [Sec 10 (Tier 3 Exit Criteria) (p. 11)]; P02 [DRAFT-P-001]</t>
        </is>
      </c>
      <c r="G17" s="9" t="inlineStr">
        <is>
          <t>Sub-millisecond flight control response is mandatory to counteract abrupt localized aerodynamic disturbances and maintain airframe attitude stability.</t>
        </is>
      </c>
      <c r="H17" s="5" t="inlineStr">
        <is>
          <t>Critical</t>
        </is>
      </c>
      <c r="I17" s="11" t="inlineStr">
        <is>
          <t>Pending Definition</t>
        </is>
      </c>
      <c r="J17" s="10" t="inlineStr">
        <is>
          <t>Test</t>
        </is>
      </c>
      <c r="K17" s="11" t="inlineStr">
        <is>
          <t>Pending Definition</t>
        </is>
      </c>
      <c r="L17" s="10" t="inlineStr">
        <is>
          <t>REQ-F-005, REQ-S-001, REQ-S-003</t>
        </is>
      </c>
      <c r="M17" s="7" t="inlineStr">
        <is>
          <t>Under Review</t>
        </is>
      </c>
      <c r="N17" s="9" t="inlineStr">
        <is>
          <t>Discrepancy flagged: P02 draft cited &lt;250 us; official REA-T1 Section 10 Tier 3 establishes inner-loop latency under 1 millisecond. Maximum jitter bounds require definition.</t>
        </is>
      </c>
    </row>
    <row r="18" ht="86" customHeight="1">
      <c r="A18" s="2" t="inlineStr">
        <is>
          <t>REQ-P-002</t>
        </is>
      </c>
      <c r="B18" s="3" t="inlineStr">
        <is>
          <t>High-Altitude Operational Service Ceiling</t>
        </is>
      </c>
      <c r="C18" s="3" t="inlineStr">
        <is>
          <t>The airframe, aerodynamics, and propulsion subsystems shall sustain operational tactical flight at a service ceiling of up to 6,500 meters Above Mean Sea Level (AMSL) in low air-density mountain environments.</t>
        </is>
      </c>
      <c r="D18" s="4" t="inlineStr">
        <is>
          <t>Performance</t>
        </is>
      </c>
      <c r="E18" s="3" t="inlineStr">
        <is>
          <t>Aerodynamics &amp; Operating Regime</t>
        </is>
      </c>
      <c r="F18" s="3" t="inlineStr">
        <is>
          <t>REA-T1-OVERVIEW-2026-V1.0 [Sec 1, Sec 2, Sec 4 (p. 2, 3, 5)]; P02 [DRAFT-P-002]</t>
        </is>
      </c>
      <c r="G18" s="3" t="inlineStr">
        <is>
          <t>Required to execute persistent surveillance and resupply across high Himalayan peaks, forward listening posts, and Siachen Glacier sectors.</t>
        </is>
      </c>
      <c r="H18" s="7" t="inlineStr">
        <is>
          <t>High</t>
        </is>
      </c>
      <c r="I18" s="6" t="inlineStr">
        <is>
          <t>Pending Definition</t>
        </is>
      </c>
      <c r="J18" s="4" t="inlineStr">
        <is>
          <t>Test</t>
        </is>
      </c>
      <c r="K18" s="6" t="inlineStr">
        <is>
          <t>Pending Definition</t>
        </is>
      </c>
      <c r="L18" s="4" t="inlineStr">
        <is>
          <t>REQ-P-003, REQ-P-004</t>
        </is>
      </c>
      <c r="M18" s="7" t="inlineStr">
        <is>
          <t>Under Review</t>
        </is>
      </c>
      <c r="N18" s="3" t="inlineStr">
        <is>
          <t>Climb rate at 6,500m AMSL, take-off density altitude limits, and motor thrust degradation profiles require documentation in aerodynamic baseline.</t>
        </is>
      </c>
    </row>
    <row r="19" ht="86" customHeight="1">
      <c r="A19" s="8" t="inlineStr">
        <is>
          <t>REQ-P-003</t>
        </is>
      </c>
      <c r="B19" s="9" t="inlineStr">
        <is>
          <t>Flight Stabilization Mountain Wind Shear Resistance</t>
        </is>
      </c>
      <c r="C19" s="9" t="inlineStr">
        <is>
          <t>The flight stabilization system, control surfaces, and airframe structure shall sustain stable controlled flight under localized mountain wind shear and gusts of up to 25 meters per second (25 m/s).</t>
        </is>
      </c>
      <c r="D19" s="10" t="inlineStr">
        <is>
          <t>Performance</t>
        </is>
      </c>
      <c r="E19" s="9" t="inlineStr">
        <is>
          <t>Aerodynamics &amp; Flight Stability</t>
        </is>
      </c>
      <c r="F19" s="9" t="inlineStr">
        <is>
          <t>REA-T1-OVERVIEW-2026-V1.0 [Sec 2.1, Sec 4, Sec 8.2 (p. 3, 5, 9)]; P02 [DRAFT-P-003]</t>
        </is>
      </c>
      <c r="G19" s="9" t="inlineStr">
        <is>
          <t>Mountain ridges and narrow valleys experience severe downdrafts and sudden wind shear exceeding standard tactical UAV flight tolerances.</t>
        </is>
      </c>
      <c r="H19" s="7" t="inlineStr">
        <is>
          <t>High</t>
        </is>
      </c>
      <c r="I19" s="11" t="inlineStr">
        <is>
          <t>Pending Definition</t>
        </is>
      </c>
      <c r="J19" s="10" t="inlineStr">
        <is>
          <t>Test</t>
        </is>
      </c>
      <c r="K19" s="11" t="inlineStr">
        <is>
          <t>Pending Definition</t>
        </is>
      </c>
      <c r="L19" s="10" t="inlineStr">
        <is>
          <t>REQ-P-001, REQ-F-005, REQ-P-002</t>
        </is>
      </c>
      <c r="M19" s="7" t="inlineStr">
        <is>
          <t>Under Review</t>
        </is>
      </c>
      <c r="N19" s="9" t="inlineStr">
        <is>
          <t>Maximum sustained gust duration at 25 m/s and angular attitude deviation tolerances require quantification in Gazebo digital twin test profiles.</t>
        </is>
      </c>
    </row>
    <row r="20" ht="86" customHeight="1">
      <c r="A20" s="2" t="inlineStr">
        <is>
          <t>REQ-P-004</t>
        </is>
      </c>
      <c r="B20" s="3" t="inlineStr">
        <is>
          <t>Sub-Zero Cold-Weather Operating Thermal Envelope</t>
        </is>
      </c>
      <c r="C20" s="3" t="inlineStr">
        <is>
          <t>The system electronics, avionics, propulsion motors, and insulated battery management cells shall maintain nominal operational performance in ambient temperatures down to -20°C (with threshold evaluation down to -30°C).</t>
        </is>
      </c>
      <c r="D20" s="4" t="inlineStr">
        <is>
          <t>Performance</t>
        </is>
      </c>
      <c r="E20" s="3" t="inlineStr">
        <is>
          <t>Environmental &amp; Thermal</t>
        </is>
      </c>
      <c r="F20" s="3" t="inlineStr">
        <is>
          <t>REA-T1-OVERVIEW-2026-V1.0 [Sec 9.2 (M2), Sec 10 (Tier 5) (p. 10, 11)]; P02 [DRAFT-P-004]</t>
        </is>
      </c>
      <c r="G20" s="3" t="inlineStr">
        <is>
          <t>High-altitude Himalayan winters regularly subject airframes to sub-zero cold, which severely degrades standard lithium-ion batteries and unhardened electronics.</t>
        </is>
      </c>
      <c r="H20" s="7" t="inlineStr">
        <is>
          <t>High</t>
        </is>
      </c>
      <c r="I20" s="6" t="inlineStr">
        <is>
          <t>Pending Definition</t>
        </is>
      </c>
      <c r="J20" s="4" t="inlineStr">
        <is>
          <t>Test</t>
        </is>
      </c>
      <c r="K20" s="6" t="inlineStr">
        <is>
          <t>Pending Definition</t>
        </is>
      </c>
      <c r="L20" s="4" t="inlineStr">
        <is>
          <t>REQ-P-002, REQ-S-006</t>
        </is>
      </c>
      <c r="M20" s="7" t="inlineStr">
        <is>
          <t>Under Review</t>
        </is>
      </c>
      <c r="N20" s="3" t="inlineStr">
        <is>
          <t>Discrepancy flagged: REA-T1 Section 9/10 specifies thermal chamber stress testing down to -20°C; P02 draft cited -30°C. Temperature envelope needs formal baseline clarification.</t>
        </is>
      </c>
    </row>
    <row r="21" ht="86" customHeight="1">
      <c r="A21" s="8" t="inlineStr">
        <is>
          <t>REQ-P-005</t>
        </is>
      </c>
      <c r="B21" s="9" t="inlineStr">
        <is>
          <t>GNSS-Denied Positional Drift Bound</t>
        </is>
      </c>
      <c r="C21" s="9" t="inlineStr">
        <is>
          <t>The VIO and DEM terrain-matching navigation pipeline shall sustain continuous drift-bounded tactical flight in satellite-jammed airspace with sub-meter drift bounds (&lt; 0.8m to 1.0m per hour positional error).</t>
        </is>
      </c>
      <c r="D21" s="10" t="inlineStr">
        <is>
          <t>Performance</t>
        </is>
      </c>
      <c r="E21" s="9" t="inlineStr">
        <is>
          <t>Navigation &amp; Guidance</t>
        </is>
      </c>
      <c r="F21" s="9" t="inlineStr">
        <is>
          <t>REA-T1-OVERVIEW-2026-V1.0 [Sec 2.2, Sec 10 (Tier 8 Exit Criteria) (p. 3, 11)]; P02 [DRAFT-P-005]</t>
        </is>
      </c>
      <c r="G21" s="9" t="inlineStr">
        <is>
          <t>Eliminates cumulative positional error over extended autonomous missions where GPS satellites are jammed or spoofed.</t>
        </is>
      </c>
      <c r="H21" s="5" t="inlineStr">
        <is>
          <t>Critical</t>
        </is>
      </c>
      <c r="I21" s="11" t="inlineStr">
        <is>
          <t>Pending Definition</t>
        </is>
      </c>
      <c r="J21" s="10" t="inlineStr">
        <is>
          <t>Test</t>
        </is>
      </c>
      <c r="K21" s="11" t="inlineStr">
        <is>
          <t>Pending Definition</t>
        </is>
      </c>
      <c r="L21" s="10" t="inlineStr">
        <is>
          <t>REQ-F-004, REQ-F-005</t>
        </is>
      </c>
      <c r="M21" s="7" t="inlineStr">
        <is>
          <t>Under Review</t>
        </is>
      </c>
      <c r="N21" s="9" t="inlineStr">
        <is>
          <t>Metric alignment: REA-T1 Tier 8 specifies 'Sub-meter drift bounds sustained'; P02 draft cited '&lt;0.8m error per hour'. Statistical confidence interval (1-sigma vs 2-sigma CEP) needs definition.</t>
        </is>
      </c>
    </row>
    <row r="22" ht="86" customHeight="1">
      <c r="A22" s="2" t="inlineStr">
        <is>
          <t>REQ-P-006</t>
        </is>
      </c>
      <c r="B22" s="3" t="inlineStr">
        <is>
          <t>Directional Free-Space Optical Data Throughput &amp; Link Range</t>
        </is>
      </c>
      <c r="C22" s="3" t="inlineStr">
        <is>
          <t>The Free-Space Optical (FSO) laser communications subsystem shall deliver high-bandwidth, jam-proof data throughput (target &gt;= 1.2 Gbps) over an optical line-of-sight range of up to 18 kilometers.</t>
        </is>
      </c>
      <c r="D22" s="4" t="inlineStr">
        <is>
          <t>Performance</t>
        </is>
      </c>
      <c r="E22" s="3" t="inlineStr">
        <is>
          <t>Optical Communications</t>
        </is>
      </c>
      <c r="F22" s="3" t="inlineStr">
        <is>
          <t>REA-T1-OVERVIEW-2026-V1.0 [Sec 2.2, Sec 4, Sec 7 (Mod 05) (p. 3, 5, 8)]; P02 [DRAFT-P-006]</t>
        </is>
      </c>
      <c r="G22" s="3" t="inlineStr">
        <is>
          <t>Enables rapid downlink of high-definition video, multi-spectral sensor matrices, and radar data cubes without saturating or exposing RF channels.</t>
        </is>
      </c>
      <c r="H22" s="7" t="inlineStr">
        <is>
          <t>High</t>
        </is>
      </c>
      <c r="I22" s="6" t="inlineStr">
        <is>
          <t>Pending Definition</t>
        </is>
      </c>
      <c r="J22" s="4" t="inlineStr">
        <is>
          <t>Test</t>
        </is>
      </c>
      <c r="K22" s="6" t="inlineStr">
        <is>
          <t>Pending Definition</t>
        </is>
      </c>
      <c r="L22" s="4" t="inlineStr">
        <is>
          <t>REQ-F-010, REQ-F-011</t>
        </is>
      </c>
      <c r="M22" s="7" t="inlineStr">
        <is>
          <t>Under Review</t>
        </is>
      </c>
      <c r="N22" s="3" t="inlineStr">
        <is>
          <t>Throughput and 18 km range metrics originated in preliminary project proposals; REA-T1 confirms FSO architecture. Atmospheric attenuation bounds in fog/snow require validation.</t>
        </is>
      </c>
    </row>
    <row r="23" ht="86" customHeight="1">
      <c r="A23" s="8" t="inlineStr">
        <is>
          <t>REQ-P-007</t>
        </is>
      </c>
      <c r="B23" s="9" t="inlineStr">
        <is>
          <t>Heterogeneous Edge Compute AI Processing Capacity</t>
        </is>
      </c>
      <c r="C23" s="9" t="inlineStr">
        <is>
          <t>The onboard compute fabric shall integrate heterogeneous processing cores (CPU, GPU, NPU, and DSP) delivering dedicated neural acceleration with a planned migration roadmap to sovereign Indian processors (C-DAC VEGA / IIT Madras SHAKTI).</t>
        </is>
      </c>
      <c r="D23" s="10" t="inlineStr">
        <is>
          <t>Performance</t>
        </is>
      </c>
      <c r="E23" s="9" t="inlineStr">
        <is>
          <t>Embedded Compute Hardware</t>
        </is>
      </c>
      <c r="F23" s="9" t="inlineStr">
        <is>
          <t>REA-T1-OVERVIEW-2026-V1.0 [Sec 2.2, Sec 6.2, Sec 11.3 (p. 3, 7, 12)]; P02 [DRAFT-P-007]</t>
        </is>
      </c>
      <c r="G23" s="9" t="inlineStr">
        <is>
          <t>High-throughput edge computing executes complex vision, segmentation, and DSP workloads locally while establishing indigenous Indian silicon sovereignty.</t>
        </is>
      </c>
      <c r="H23" s="7" t="inlineStr">
        <is>
          <t>High</t>
        </is>
      </c>
      <c r="I23" s="11" t="inlineStr">
        <is>
          <t>Pending Definition</t>
        </is>
      </c>
      <c r="J23" s="10" t="inlineStr">
        <is>
          <t>Inspection</t>
        </is>
      </c>
      <c r="K23" s="11" t="inlineStr">
        <is>
          <t>Pending Definition</t>
        </is>
      </c>
      <c r="L23" s="10" t="inlineStr">
        <is>
          <t>REQ-F-006, REQ-F-007, REQ-P-008</t>
        </is>
      </c>
      <c r="M23" s="7" t="inlineStr">
        <is>
          <t>Under Review</t>
        </is>
      </c>
      <c r="N23" s="9" t="inlineStr">
        <is>
          <t>Discrepancy flagged: P02 cited Nvidia Jetson Orin Industrial SOM (275 TOPS); REA-T1 emphasizes zero-cloud heterogeneous processing with progressive migration to C-DAC VEGA &amp; SHAKTI silicon.</t>
        </is>
      </c>
    </row>
    <row r="24" ht="86" customHeight="1">
      <c r="A24" s="2" t="inlineStr">
        <is>
          <t>REQ-P-008</t>
        </is>
      </c>
      <c r="B24" s="3" t="inlineStr">
        <is>
          <t>Quantized Neural Inference Real-Time Frame Throughput</t>
        </is>
      </c>
      <c r="C24" s="3" t="inlineStr">
        <is>
          <t>Onboard visual neural models optimized and compiled for low-latency integer quantization (INT8) shall achieve real-time inference execution throughput of up to 60 frames per second (60 FPS).</t>
        </is>
      </c>
      <c r="D24" s="4" t="inlineStr">
        <is>
          <t>Performance</t>
        </is>
      </c>
      <c r="E24" s="3" t="inlineStr">
        <is>
          <t>Edge AI Optimization</t>
        </is>
      </c>
      <c r="F24" s="3" t="inlineStr">
        <is>
          <t>REA-T1-OVERVIEW-2026-V1.0 [Sec 4, Sec 6.3 (p. 5, 7)]; P02 [DRAFT-P-008]</t>
        </is>
      </c>
      <c r="G24" s="3" t="inlineStr">
        <is>
          <t>60 FPS inference throughput prevents perception lag and ensures real-time obstacle avoidance and fast-moving target tracking.</t>
        </is>
      </c>
      <c r="H24" s="7" t="inlineStr">
        <is>
          <t>High</t>
        </is>
      </c>
      <c r="I24" s="6" t="inlineStr">
        <is>
          <t>Pending Definition</t>
        </is>
      </c>
      <c r="J24" s="4" t="inlineStr">
        <is>
          <t>Test</t>
        </is>
      </c>
      <c r="K24" s="6" t="inlineStr">
        <is>
          <t>Pending Definition</t>
        </is>
      </c>
      <c r="L24" s="4" t="inlineStr">
        <is>
          <t>REQ-F-006, REQ-F-007, REQ-P-007</t>
        </is>
      </c>
      <c r="M24" s="7" t="inlineStr">
        <is>
          <t>Under Review</t>
        </is>
      </c>
      <c r="N24" s="3" t="inlineStr">
        <is>
          <t>Input image resolution at 60 FPS (640x640 vs 1080p), inference batch size, and thermal dissipation profile under high altitude require definition.</t>
        </is>
      </c>
    </row>
    <row r="25" ht="86" customHeight="1">
      <c r="A25" s="8" t="inlineStr">
        <is>
          <t>REQ-P-009</t>
        </is>
      </c>
      <c r="B25" s="9" t="inlineStr">
        <is>
          <t>Low-RCS Stealth Airframe Radar Cross-Section</t>
        </is>
      </c>
      <c r="C25" s="9" t="inlineStr">
        <is>
          <t>The faceted carbon-composite monocoque airframe with embedded radar-absorbing material (RAM) shall achieve a reduced Radar Cross-Section (target estimated &lt; 0.01 m²) across X and Ku radar frequency bands.</t>
        </is>
      </c>
      <c r="D25" s="10" t="inlineStr">
        <is>
          <t>Performance</t>
        </is>
      </c>
      <c r="E25" s="9" t="inlineStr">
        <is>
          <t>Stealth &amp; Signature Control</t>
        </is>
      </c>
      <c r="F25" s="9" t="inlineStr">
        <is>
          <t>REA-T1-OVERVIEW-2026-V1.0 [Sec 2.2, Sec 4, Sec 6.2 (p. 3, 5, 7)]; P02 [DRAFT-P-009]</t>
        </is>
      </c>
      <c r="G25" s="9" t="inlineStr">
        <is>
          <t>Minimizes detection probability against modern tactical air defense radar systems and hostile border surveillance radar.</t>
        </is>
      </c>
      <c r="H25" s="7" t="inlineStr">
        <is>
          <t>High</t>
        </is>
      </c>
      <c r="I25" s="11" t="inlineStr">
        <is>
          <t>Pending Definition</t>
        </is>
      </c>
      <c r="J25" s="10" t="inlineStr">
        <is>
          <t>Analysis</t>
        </is>
      </c>
      <c r="K25" s="11" t="inlineStr">
        <is>
          <t>Pending Definition</t>
        </is>
      </c>
      <c r="L25" s="10" t="inlineStr">
        <is>
          <t>REQ-P-002</t>
        </is>
      </c>
      <c r="M25" s="7" t="inlineStr">
        <is>
          <t>Under Review</t>
        </is>
      </c>
      <c r="N25" s="9" t="inlineStr">
        <is>
          <t>Numerical threshold of &lt;0.01 m² RCS originated in proposal specifications; specific azimuth/elevation aspect cones and anechoic chamber test protocol require definition.</t>
        </is>
      </c>
    </row>
    <row r="26" ht="86" customHeight="1">
      <c r="A26" s="2" t="inlineStr">
        <is>
          <t>REQ-P-010</t>
        </is>
      </c>
      <c r="B26" s="3" t="inlineStr">
        <is>
          <t>Wideband Software-Defined Radio Spectrum Monitoring Range</t>
        </is>
      </c>
      <c r="C26" s="3" t="inlineStr">
        <is>
          <t>The Software-Defined Radio (SDR) subsystem shall operate across a continuous wideband radio frequency monitoring range spanning from 400 MHz to 6 GHz (with design evaluation spanning 10 MHz to 6 GHz).</t>
        </is>
      </c>
      <c r="D26" s="4" t="inlineStr">
        <is>
          <t>Performance</t>
        </is>
      </c>
      <c r="E26" s="3" t="inlineStr">
        <is>
          <t>Electronic Warfare Spectrum</t>
        </is>
      </c>
      <c r="F26" s="3" t="inlineStr">
        <is>
          <t>REA-T1-OVERVIEW-2026-V1.0 [Sec 7 (Mod 04) (p. 8)]; P02 [DRAFT-P-010]</t>
        </is>
      </c>
      <c r="G26" s="3" t="inlineStr">
        <is>
          <t>Broad spectrum coverage intercepts enemy VHF/UHF tactical communications, datalinks, cellular infrastructure, and high-frequency radar emissions.</t>
        </is>
      </c>
      <c r="H26" s="7" t="inlineStr">
        <is>
          <t>High</t>
        </is>
      </c>
      <c r="I26" s="6" t="inlineStr">
        <is>
          <t>Pending Definition</t>
        </is>
      </c>
      <c r="J26" s="4" t="inlineStr">
        <is>
          <t>Test</t>
        </is>
      </c>
      <c r="K26" s="6" t="inlineStr">
        <is>
          <t>Pending Definition</t>
        </is>
      </c>
      <c r="L26" s="4" t="inlineStr">
        <is>
          <t>REQ-F-009, REQ-F-012</t>
        </is>
      </c>
      <c r="M26" s="7" t="inlineStr">
        <is>
          <t>Under Review</t>
        </is>
      </c>
      <c r="N26" s="3" t="inlineStr">
        <is>
          <t>Discrepancy flagged: REA-T1 Module 04 specifies 400 MHz to 6 GHz wideband SDR RF antenna inputs; P02 draft cited 10 MHz to 6 GHz. Antenna hardware tuning steps and lower band cutoff require clarification.</t>
        </is>
      </c>
    </row>
    <row r="27" ht="86" customHeight="1">
      <c r="A27" s="8" t="inlineStr">
        <is>
          <t>REQ-S-001</t>
        </is>
      </c>
      <c r="B27" s="9" t="inlineStr">
        <is>
          <t>Asynchronous Hardware Firewall &amp; Autopilot Core Isolation</t>
        </is>
      </c>
      <c r="C27" s="9" t="inlineStr">
        <is>
          <t>The flight control software stack shall execute on dedicated bare-metal microcontrollers physically independent of the Linux edge compute operating system to guarantee that edge AI exceptions cannot compromise flight stability.</t>
        </is>
      </c>
      <c r="D27" s="10" t="inlineStr">
        <is>
          <t>Safety</t>
        </is>
      </c>
      <c r="E27" s="9" t="inlineStr">
        <is>
          <t>Architectural Isolation &amp; Airworthiness</t>
        </is>
      </c>
      <c r="F27" s="9" t="inlineStr">
        <is>
          <t>REA-T1-OVERVIEW-2026-V1.0 [Sec 4, Sec 8.3 (p. 5, 9)]; P02 [DRAFT-S-001]</t>
        </is>
      </c>
      <c r="G27" s="9" t="inlineStr">
        <is>
          <t>Prevents AI process faults, memory thrashing, or high-level software exceptions from propagating to the safety-critical inner attitude control loops.</t>
        </is>
      </c>
      <c r="H27" s="5" t="inlineStr">
        <is>
          <t>Critical</t>
        </is>
      </c>
      <c r="I27" s="11" t="inlineStr">
        <is>
          <t>Pending Definition</t>
        </is>
      </c>
      <c r="J27" s="10" t="inlineStr">
        <is>
          <t>Inspection</t>
        </is>
      </c>
      <c r="K27" s="11" t="inlineStr">
        <is>
          <t>Pending Definition</t>
        </is>
      </c>
      <c r="L27" s="10" t="inlineStr">
        <is>
          <t>REQ-F-005, REQ-S-003, REQ-P-001</t>
        </is>
      </c>
      <c r="M27" s="7" t="inlineStr">
        <is>
          <t>Under Review</t>
        </is>
      </c>
      <c r="N27" s="9" t="inlineStr">
        <is>
          <t>Confirmed core architectural safety requirement. Physical microcontroller separation and electrical power isolation verified in architecture schematic.</t>
        </is>
      </c>
    </row>
    <row r="28" ht="104" customHeight="1">
      <c r="A28" s="2" t="inlineStr">
        <is>
          <t>REQ-S-002</t>
        </is>
      </c>
      <c r="B28" s="3" t="inlineStr">
        <is>
          <t>Airborne Flight Software &amp; Electronic Hardware Safety Standards</t>
        </is>
      </c>
      <c r="C28" s="3" t="inlineStr">
        <is>
          <t>The flight software lifecycle and airborne electronic hardware components shall adhere to structured safety and validation standards governed by the 10-Tier Validation Ladder and applicable aerospace airworthiness guidelines (DO-178C / DO-254 / iDEX Evaluation Standard).</t>
        </is>
      </c>
      <c r="D28" s="4" t="inlineStr">
        <is>
          <t>Safety</t>
        </is>
      </c>
      <c r="E28" s="3" t="inlineStr">
        <is>
          <t>Safety Certification &amp; Compliance</t>
        </is>
      </c>
      <c r="F28" s="3" t="inlineStr">
        <is>
          <t>REA-T1-OVERVIEW-2026-V1.0 [Sec 1, Sec 10 (p. 2, 11)]; P02 [DRAFT-S-002]</t>
        </is>
      </c>
      <c r="G28" s="3" t="inlineStr">
        <is>
          <t>Structured verification lifecycle ensures total flight airworthiness and regulatory compliance required for military field evaluation and defense induction.</t>
        </is>
      </c>
      <c r="H28" s="5" t="inlineStr">
        <is>
          <t>Critical</t>
        </is>
      </c>
      <c r="I28" s="6" t="inlineStr">
        <is>
          <t>Pending Definition</t>
        </is>
      </c>
      <c r="J28" s="4" t="inlineStr">
        <is>
          <t>Analysis</t>
        </is>
      </c>
      <c r="K28" s="6" t="inlineStr">
        <is>
          <t>Pending Definition</t>
        </is>
      </c>
      <c r="L28" s="4" t="inlineStr">
        <is>
          <t>REQ-D-004, REQ-S-006</t>
        </is>
      </c>
      <c r="M28" s="7" t="inlineStr">
        <is>
          <t>Under Review</t>
        </is>
      </c>
      <c r="N28" s="3" t="inlineStr">
        <is>
          <t>Design Assurance Level (DAL) allocation or military airworthiness standard equivalent (iDEX / DIO guidelines vs DO-178C) requires formalization in Safety Plan.</t>
        </is>
      </c>
    </row>
    <row r="29" ht="86" customHeight="1">
      <c r="A29" s="8" t="inlineStr">
        <is>
          <t>REQ-S-003</t>
        </is>
      </c>
      <c r="B29" s="9" t="inlineStr">
        <is>
          <t>Redundant Avionics Bus Communications &amp; Hardware Watchdog Failsafe</t>
        </is>
      </c>
      <c r="C29" s="9" t="inlineStr">
        <is>
          <t>The system shall route autopilot-to-compute communications over deterministic high-speed buses with hardware watchdog heartbeats, automatically executing internal return-to-home or failsafe procedures upon communication link loss.</t>
        </is>
      </c>
      <c r="D29" s="10" t="inlineStr">
        <is>
          <t>Safety</t>
        </is>
      </c>
      <c r="E29" s="9" t="inlineStr">
        <is>
          <t>Failsafe &amp; Fault Tolerance</t>
        </is>
      </c>
      <c r="F29" s="9" t="inlineStr">
        <is>
          <t>REA-T1-OVERVIEW-2026-V1.0 [Sec 8.2 (Table 2), Sec 8.3 (p. 9)]; P02 [DRAFT-S-003]</t>
        </is>
      </c>
      <c r="G29" s="9" t="inlineStr">
        <is>
          <t>Prevents catastrophic fly-aways or uncontrollable airframe states if communication between edge compute and flight avionics is severed.</t>
        </is>
      </c>
      <c r="H29" s="5" t="inlineStr">
        <is>
          <t>Critical</t>
        </is>
      </c>
      <c r="I29" s="11" t="inlineStr">
        <is>
          <t>Pending Definition</t>
        </is>
      </c>
      <c r="J29" s="10" t="inlineStr">
        <is>
          <t>Test</t>
        </is>
      </c>
      <c r="K29" s="11" t="inlineStr">
        <is>
          <t>Pending Definition</t>
        </is>
      </c>
      <c r="L29" s="10" t="inlineStr">
        <is>
          <t>REQ-F-005, REQ-S-001, REQ-P-001</t>
        </is>
      </c>
      <c r="M29" s="7" t="inlineStr">
        <is>
          <t>Under Review</t>
        </is>
      </c>
      <c r="N29" s="9" t="inlineStr">
        <is>
          <t>Bus protocols: REA-T1 Table 2 specifies High-Speed UART / Ethernet with MAVLink 2.0 / Micro-XRCE-DDS and CAN bus. Watchdog timeout duration (ms) requires formal baseline setting.</t>
        </is>
      </c>
    </row>
    <row r="30" ht="86" customHeight="1">
      <c r="A30" s="2" t="inlineStr">
        <is>
          <t>REQ-S-004</t>
        </is>
      </c>
      <c r="B30" s="3" t="inlineStr">
        <is>
          <t>Dual-Redundant Opto-Isolated Cargo Release Safety Interlock</t>
        </is>
      </c>
      <c r="C30" s="3" t="inlineStr">
        <is>
          <t>The precision cargo drop mechanism shall be controlled via opto-isolated solid-state I/O requiring dual-redundant discrete logic signals to prevent accidental payload unlatching during boot, power transients, or software faults.</t>
        </is>
      </c>
      <c r="D30" s="4" t="inlineStr">
        <is>
          <t>Safety</t>
        </is>
      </c>
      <c r="E30" s="3" t="inlineStr">
        <is>
          <t>Effector &amp; Payload Interlocking</t>
        </is>
      </c>
      <c r="F30" s="3" t="inlineStr">
        <is>
          <t>REA-T1-OVERVIEW-2026-V1.0 [Sec 4, Sec 8.2 (Table 2) (p. 4, 9)]; P02 [DRAFT-S-004]</t>
        </is>
      </c>
      <c r="G30" s="3" t="inlineStr">
        <is>
          <t>Accidental release of payloads over friendly ground forces or unauthorized terrain creates catastrophic physical danger and compromises mission cargo.</t>
        </is>
      </c>
      <c r="H30" s="5" t="inlineStr">
        <is>
          <t>Critical</t>
        </is>
      </c>
      <c r="I30" s="6" t="inlineStr">
        <is>
          <t>Pending Definition</t>
        </is>
      </c>
      <c r="J30" s="4" t="inlineStr">
        <is>
          <t>Test</t>
        </is>
      </c>
      <c r="K30" s="6" t="inlineStr">
        <is>
          <t>Pending Definition</t>
        </is>
      </c>
      <c r="L30" s="4" t="inlineStr">
        <is>
          <t>REQ-F-013</t>
        </is>
      </c>
      <c r="M30" s="7" t="inlineStr">
        <is>
          <t>Under Review</t>
        </is>
      </c>
      <c r="N30" s="3" t="inlineStr">
        <is>
          <t>Discrete logic signal voltage levels, hardware pull-down resistor values, and software interlock state machine transitions require definition.</t>
        </is>
      </c>
    </row>
    <row r="31" ht="86" customHeight="1">
      <c r="A31" s="8" t="inlineStr">
        <is>
          <t>REQ-S-005</t>
        </is>
      </c>
      <c r="B31" s="9" t="inlineStr">
        <is>
          <t>Air-Gapped Inter-Process Communication &amp; Network Isolation</t>
        </is>
      </c>
      <c r="C31" s="9" t="inlineStr">
        <is>
          <t>The edge compute software architecture shall restrict all inter-process communications to local shared memory (POSIX shm) or loopback sockets under a hardened air-gapped OS, strictly prohibiting unvetted external network bridging.</t>
        </is>
      </c>
      <c r="D31" s="10" t="inlineStr">
        <is>
          <t>Safety</t>
        </is>
      </c>
      <c r="E31" s="9" t="inlineStr">
        <is>
          <t>Cyber-Physical Network Isolation</t>
        </is>
      </c>
      <c r="F31" s="9" t="inlineStr">
        <is>
          <t>REA-T1-OVERVIEW-2026-V1.0 [Sec 6.3, Sec 8.3 (p. 7, 9)]; P02 [DRAFT-S-005]</t>
        </is>
      </c>
      <c r="G31" s="9" t="inlineStr">
        <is>
          <t>Guarantees zero public-cloud dependency and prevents cyber infiltration, remote backdoors, or data exfiltration via external ports.</t>
        </is>
      </c>
      <c r="H31" s="5" t="inlineStr">
        <is>
          <t>Critical</t>
        </is>
      </c>
      <c r="I31" s="11" t="inlineStr">
        <is>
          <t>Pending Definition</t>
        </is>
      </c>
      <c r="J31" s="10" t="inlineStr">
        <is>
          <t>Inspection</t>
        </is>
      </c>
      <c r="K31" s="11" t="inlineStr">
        <is>
          <t>Pending Definition</t>
        </is>
      </c>
      <c r="L31" s="10" t="inlineStr">
        <is>
          <t>REQ-SEC-001, REQ-SEC-002</t>
        </is>
      </c>
      <c r="M31" s="7" t="inlineStr">
        <is>
          <t>Under Review</t>
        </is>
      </c>
      <c r="N31" s="9" t="inlineStr">
        <is>
          <t>Confirmed architectural safety rule. Linux kernel firewall rules and physical Ethernet port disabling during tactical flight require verification.</t>
        </is>
      </c>
    </row>
    <row r="32" ht="86" customHeight="1">
      <c r="A32" s="2" t="inlineStr">
        <is>
          <t>REQ-S-006</t>
        </is>
      </c>
      <c r="B32" s="3" t="inlineStr">
        <is>
          <t>Pre-Flight Benchtop Integration Zero Bus Collision Endurance</t>
        </is>
      </c>
      <c r="C32" s="3" t="inlineStr">
        <is>
          <t>The integrated avionics, sensors, and inter-module communication buses shall sustain continuous operation for at least 48 hours with zero bus collisions during benchtop integration (Tier 4) prior to flight test authorization.</t>
        </is>
      </c>
      <c r="D32" s="4" t="inlineStr">
        <is>
          <t>Safety</t>
        </is>
      </c>
      <c r="E32" s="3" t="inlineStr">
        <is>
          <t>Verification &amp; Process Governance</t>
        </is>
      </c>
      <c r="F32" s="3" t="inlineStr">
        <is>
          <t>REA-T1-OVERVIEW-2026-V1.0 [Sec 10 (Tier 4 Exit Criteria) (p. 11)]; P02 [DRAFT-S-006]</t>
        </is>
      </c>
      <c r="G32" s="3" t="inlineStr">
        <is>
          <t>Ensures that all digital communication buses are robust, properly terminated, and free of timing conflicts before physical flight testing.</t>
        </is>
      </c>
      <c r="H32" s="7" t="inlineStr">
        <is>
          <t>High</t>
        </is>
      </c>
      <c r="I32" s="6" t="inlineStr">
        <is>
          <t>Pending Definition</t>
        </is>
      </c>
      <c r="J32" s="4" t="inlineStr">
        <is>
          <t>Test</t>
        </is>
      </c>
      <c r="K32" s="6" t="inlineStr">
        <is>
          <t>Pending Definition</t>
        </is>
      </c>
      <c r="L32" s="4" t="inlineStr">
        <is>
          <t>REQ-S-003, REQ-P-001</t>
        </is>
      </c>
      <c r="M32" s="7" t="inlineStr">
        <is>
          <t>Under Review</t>
        </is>
      </c>
      <c r="N32" s="3" t="inlineStr">
        <is>
          <t>Bus collision logging mechanism, error frame thresholds, and bus load percentage criteria require formal definition in HIL test protocol.</t>
        </is>
      </c>
    </row>
    <row r="33" ht="86" customHeight="1">
      <c r="A33" s="8" t="inlineStr">
        <is>
          <t>REQ-D-001</t>
        </is>
      </c>
      <c r="B33" s="9" t="inlineStr">
        <is>
          <t>Baseline System Requirements Specification (SRS) Milestone Freeze</t>
        </is>
      </c>
      <c r="C33" s="9" t="inlineStr">
        <is>
          <t>The engineering team shall baseline and freeze the comprehensive System Requirements Specification (SRS) governing all 20 frozen advanced capabilities during Milestone 1 (Months 1–4).</t>
        </is>
      </c>
      <c r="D33" s="10" t="inlineStr">
        <is>
          <t>Documentation</t>
        </is>
      </c>
      <c r="E33" s="9" t="inlineStr">
        <is>
          <t>Requirements Engineering</t>
        </is>
      </c>
      <c r="F33" s="9" t="inlineStr">
        <is>
          <t>REA-T1-OVERVIEW-2026-V1.0 [Sec 1.4, Sec 9.2 (M1) (p. 2, 10)]; P02 [DRAFT-D-001]</t>
        </is>
      </c>
      <c r="G33" s="9" t="inlineStr">
        <is>
          <t>Freezing the SRS baseline prevents costly design rework and aligns multidisciplinary teams across software, hardware, and airframe engineering.</t>
        </is>
      </c>
      <c r="H33" s="7" t="inlineStr">
        <is>
          <t>High</t>
        </is>
      </c>
      <c r="I33" s="11" t="inlineStr">
        <is>
          <t>Pending Definition</t>
        </is>
      </c>
      <c r="J33" s="10" t="inlineStr">
        <is>
          <t>Inspection</t>
        </is>
      </c>
      <c r="K33" s="11" t="inlineStr">
        <is>
          <t>Pending Definition</t>
        </is>
      </c>
      <c r="L33" s="10" t="inlineStr">
        <is>
          <t>REQ-D-002, REQ-D-003</t>
        </is>
      </c>
      <c r="M33" s="7" t="inlineStr">
        <is>
          <t>Under Review</t>
        </is>
      </c>
      <c r="N33" s="9" t="inlineStr">
        <is>
          <t>SRS structure alignment with IEEE 29148 / iDEX milestone review criteria. REA-T1 Section 1.4 notes 20 frozen advanced capabilities; P02 cited 18 subsystems.</t>
        </is>
      </c>
    </row>
    <row r="34" ht="86" customHeight="1">
      <c r="A34" s="2" t="inlineStr">
        <is>
          <t>REQ-D-002</t>
        </is>
      </c>
      <c r="B34" s="3" t="inlineStr">
        <is>
          <t>Configuration-Controlled Project Scope Baseline Maintenance</t>
        </is>
      </c>
      <c r="C34" s="3" t="inlineStr">
        <is>
          <t>The engineering team shall maintain a configuration-controlled Project Scope Baseline document establishing system boundaries, functional decomposition, environmental constraints, and open scope decisions.</t>
        </is>
      </c>
      <c r="D34" s="4" t="inlineStr">
        <is>
          <t>Documentation</t>
        </is>
      </c>
      <c r="E34" s="3" t="inlineStr">
        <is>
          <t>Configuration &amp; Scope Management</t>
        </is>
      </c>
      <c r="F34" s="3" t="inlineStr">
        <is>
          <t>Project Scope Baseline (P01); Task Order Sec 1, Sec 4; P02 [DRAFT-D-002]</t>
        </is>
      </c>
      <c r="G34" s="3" t="inlineStr">
        <is>
          <t>Establishes authoritative scope boundaries and prevents unapproved feature creep during project execution.</t>
        </is>
      </c>
      <c r="H34" s="12" t="inlineStr">
        <is>
          <t>Medium</t>
        </is>
      </c>
      <c r="I34" s="6" t="inlineStr">
        <is>
          <t>Pending Definition</t>
        </is>
      </c>
      <c r="J34" s="4" t="inlineStr">
        <is>
          <t>Inspection</t>
        </is>
      </c>
      <c r="K34" s="6" t="inlineStr">
        <is>
          <t>Pending Definition</t>
        </is>
      </c>
      <c r="L34" s="4" t="inlineStr">
        <is>
          <t>REQ-D-001, REQ-D-003</t>
        </is>
      </c>
      <c r="M34" s="7" t="inlineStr">
        <is>
          <t>Under Review</t>
        </is>
      </c>
      <c r="N34" s="3" t="inlineStr">
        <is>
          <t>Delivered initially as P01_Project_Scope_Baseline.md; requires version control updates to align with RudraEdge RE-T1 naming and parameters.</t>
        </is>
      </c>
    </row>
    <row r="35" ht="86" customHeight="1">
      <c r="A35" s="8" t="inlineStr">
        <is>
          <t>REQ-D-003</t>
        </is>
      </c>
      <c r="B35" s="9" t="inlineStr">
        <is>
          <t>Auditable Numbered Requirements Register Maintenance</t>
        </is>
      </c>
      <c r="C35" s="9" t="inlineStr">
        <is>
          <t>The engineering team shall establish and maintain an auditable, uniquely numbered Requirements Register workbook categorizing functional, security, performance, safety, and documentation requirements.</t>
        </is>
      </c>
      <c r="D35" s="10" t="inlineStr">
        <is>
          <t>Documentation</t>
        </is>
      </c>
      <c r="E35" s="9" t="inlineStr">
        <is>
          <t>Configuration &amp; Scope Management</t>
        </is>
      </c>
      <c r="F35" s="9" t="inlineStr">
        <is>
          <t>Task 1 Specifications; P02 [DRAFT-D-003]</t>
        </is>
      </c>
      <c r="G35" s="9" t="inlineStr">
        <is>
          <t>Guarantees complete requirement traceability, eliminates duplicate or ambiguous statements, and manages verification coverage across the lifecycle.</t>
        </is>
      </c>
      <c r="H35" s="7" t="inlineStr">
        <is>
          <t>High</t>
        </is>
      </c>
      <c r="I35" s="11" t="inlineStr">
        <is>
          <t>Pending Definition</t>
        </is>
      </c>
      <c r="J35" s="10" t="inlineStr">
        <is>
          <t>Inspection</t>
        </is>
      </c>
      <c r="K35" s="11" t="inlineStr">
        <is>
          <t>Pending Definition</t>
        </is>
      </c>
      <c r="L35" s="10" t="inlineStr">
        <is>
          <t>REQ-D-001, REQ-D-002, REQ-D-004</t>
        </is>
      </c>
      <c r="M35" s="7" t="inlineStr">
        <is>
          <t>Under Review</t>
        </is>
      </c>
      <c r="N35" s="9" t="inlineStr">
        <is>
          <t>Delivered as P03_Numbered_Requirements_Register.xlsx under Task 1 on 23 October 2026, establishing unique stable IDs and review notes.</t>
        </is>
      </c>
    </row>
    <row r="36" ht="86" customHeight="1">
      <c r="A36" s="2" t="inlineStr">
        <is>
          <t>REQ-D-004</t>
        </is>
      </c>
      <c r="B36" s="3" t="inlineStr">
        <is>
          <t>Safety Lifecycle Compliance Data &amp; Requirement Traceability Matrix</t>
        </is>
      </c>
      <c r="C36" s="3" t="inlineStr">
        <is>
          <t>The engineering team shall establish and maintain lifecycle verification artifacts, requirement-to-test traceability matrices, and verification evidence complying with aerospace safety and validation standards.</t>
        </is>
      </c>
      <c r="D36" s="4" t="inlineStr">
        <is>
          <t>Documentation</t>
        </is>
      </c>
      <c r="E36" s="3" t="inlineStr">
        <is>
          <t>Certification &amp; Traceability</t>
        </is>
      </c>
      <c r="F36" s="3" t="inlineStr">
        <is>
          <t>REA-T1-OVERVIEW-2026-V1.0 [Sec 4, Sec 10.2 (p. 5, 11)]; P02 [DRAFT-D-004]</t>
        </is>
      </c>
      <c r="G36" s="3" t="inlineStr">
        <is>
          <t>Required by defense evaluation authorities to verify that every functional, safety, and performance requirement is validated by an auditable test tier.</t>
        </is>
      </c>
      <c r="H36" s="7" t="inlineStr">
        <is>
          <t>High</t>
        </is>
      </c>
      <c r="I36" s="6" t="inlineStr">
        <is>
          <t>Pending Definition</t>
        </is>
      </c>
      <c r="J36" s="4" t="inlineStr">
        <is>
          <t>Inspection</t>
        </is>
      </c>
      <c r="K36" s="6" t="inlineStr">
        <is>
          <t>Pending Definition</t>
        </is>
      </c>
      <c r="L36" s="4" t="inlineStr">
        <is>
          <t>REQ-S-002, REQ-D-001</t>
        </is>
      </c>
      <c r="M36" s="7" t="inlineStr">
        <is>
          <t>Under Review</t>
        </is>
      </c>
      <c r="N36" s="3" t="inlineStr">
        <is>
          <t>Selection of formal traceability database tool and bidirectional matrix linking requirements D1-D20 to test tiers pending project formalization.</t>
        </is>
      </c>
    </row>
    <row r="37" ht="86" customHeight="1">
      <c r="A37" s="8" t="inlineStr">
        <is>
          <t>REQ-D-005</t>
        </is>
      </c>
      <c r="B37" s="9" t="inlineStr">
        <is>
          <t>Hardware-in-the-Loop Integration &amp; Thermal Profiling Test Reports</t>
        </is>
      </c>
      <c r="C37" s="9" t="inlineStr">
        <is>
          <t>The engineering team shall compile formal test reports, 48-hour bus collision audit logs, power audits, and sub-zero thermal profiling reports down to -20°C for all integrated benchtop HIL avionics during Milestone 2.</t>
        </is>
      </c>
      <c r="D37" s="10" t="inlineStr">
        <is>
          <t>Documentation</t>
        </is>
      </c>
      <c r="E37" s="9" t="inlineStr">
        <is>
          <t>Test &amp; Verification Reporting</t>
        </is>
      </c>
      <c r="F37" s="9" t="inlineStr">
        <is>
          <t>REA-T1-OVERVIEW-2026-V1.0 [Sec 9.2 (M2), Sec 10 (Tier 4, Tier 5) (p. 10, 11)]; P02 [DRAFT-D-005]</t>
        </is>
      </c>
      <c r="G37" s="9" t="inlineStr">
        <is>
          <t>Validates benchtop hardware readiness and thermal survivability before advancing to airframe fabrication and tethered flight trials.</t>
        </is>
      </c>
      <c r="H37" s="12" t="inlineStr">
        <is>
          <t>Medium</t>
        </is>
      </c>
      <c r="I37" s="11" t="inlineStr">
        <is>
          <t>Pending Definition</t>
        </is>
      </c>
      <c r="J37" s="10" t="inlineStr">
        <is>
          <t>Inspection</t>
        </is>
      </c>
      <c r="K37" s="11" t="inlineStr">
        <is>
          <t>Pending Definition</t>
        </is>
      </c>
      <c r="L37" s="10" t="inlineStr">
        <is>
          <t>REQ-P-004, REQ-S-006</t>
        </is>
      </c>
      <c r="M37" s="7" t="inlineStr">
        <is>
          <t>Under Review</t>
        </is>
      </c>
      <c r="N37" s="9" t="inlineStr">
        <is>
          <t>Milestone 2 deliverable. Chamber thermal profiling down to -20°C aligned with REA-T1 Milestone 2 output (P02 cited -30°C).</t>
        </is>
      </c>
    </row>
    <row r="38" ht="86" customHeight="1">
      <c r="A38" s="2" t="inlineStr">
        <is>
          <t>REQ-D-006</t>
        </is>
      </c>
      <c r="B38" s="3" t="inlineStr">
        <is>
          <t>Comprehensive Defense Qualification &amp; Pre-Induction Trial Dossiers</t>
        </is>
      </c>
      <c r="C38" s="3" t="inlineStr">
        <is>
          <t>The project team shall compile comprehensive defense qualification dossiers, safety registers, failure mode analyses, and manufacturing documentation packages prior to Milestone 5 pre-induction field trials.</t>
        </is>
      </c>
      <c r="D38" s="4" t="inlineStr">
        <is>
          <t>Documentation</t>
        </is>
      </c>
      <c r="E38" s="3" t="inlineStr">
        <is>
          <t>Certification &amp; Deliverables</t>
        </is>
      </c>
      <c r="F38" s="3" t="inlineStr">
        <is>
          <t>REA-T1-OVERVIEW-2026-V1.0 [Sec 9.2 (M5), Sec 10 (Tier 10) (p. 10, 11)]; P02 [DRAFT-D-006]</t>
        </is>
      </c>
      <c r="G38" s="3" t="inlineStr">
        <is>
          <t>Mandatory final documentation package supporting defense procurement decision-making, field deployment authorization, and series manufacturing.</t>
        </is>
      </c>
      <c r="H38" s="7" t="inlineStr">
        <is>
          <t>High</t>
        </is>
      </c>
      <c r="I38" s="6" t="inlineStr">
        <is>
          <t>Pending Definition</t>
        </is>
      </c>
      <c r="J38" s="4" t="inlineStr">
        <is>
          <t>Inspection</t>
        </is>
      </c>
      <c r="K38" s="6" t="inlineStr">
        <is>
          <t>Pending Definition</t>
        </is>
      </c>
      <c r="L38" s="4" t="inlineStr">
        <is>
          <t>REQ-D-001, REQ-D-004, REQ-D-005</t>
        </is>
      </c>
      <c r="M38" s="7" t="inlineStr">
        <is>
          <t>Under Review</t>
        </is>
      </c>
      <c r="N38" s="3" t="inlineStr">
        <is>
          <t>Milestone 5 final project deliverable dossier structure to follow formal iDEX demonstration and defense evaluation guidelines.</t>
        </is>
      </c>
    </row>
  </sheetData>
  <autoFilter ref="A1:N38"/>
  <dataValidations count="4">
    <dataValidation sqref="D2:D38" showDropDown="0" showInputMessage="0" showErrorMessage="0" allowBlank="0" type="list">
      <formula1>"Functional,Security,Performance,Safety,Documentation"</formula1>
    </dataValidation>
    <dataValidation sqref="H2:H38" showDropDown="0" showInputMessage="0" showErrorMessage="0" allowBlank="0" type="list">
      <formula1>"Critical,High,Medium,Low"</formula1>
    </dataValidation>
    <dataValidation sqref="J2:J38" showDropDown="0" showInputMessage="0" showErrorMessage="0" allowBlank="0" type="list">
      <formula1>"Demonstration,Test,Inspection,Analysis"</formula1>
    </dataValidation>
    <dataValidation sqref="M2:M38" showDropDown="0" showInputMessage="0" showErrorMessage="0" allowBlank="0" type="list">
      <formula1>"Draft,Under Review,Approved"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8" customWidth="1" min="3" max="3"/>
    <col width="24" customWidth="1" min="4" max="4"/>
    <col width="24" customWidth="1" min="5" max="5"/>
    <col width="56" customWidth="1" min="6" max="6"/>
    <col width="22" customWidth="1" min="7" max="7"/>
    <col width="20" customWidth="1" min="8" max="8"/>
  </cols>
  <sheetData>
    <row r="1" ht="34" customHeight="1">
      <c r="A1" s="1" t="inlineStr">
        <is>
          <t>New Requirement ID</t>
        </is>
      </c>
      <c r="B1" s="1" t="inlineStr">
        <is>
          <t>Previous Draft ID (P02)</t>
        </is>
      </c>
      <c r="C1" s="1" t="inlineStr">
        <is>
          <t>Requirement Title</t>
        </is>
      </c>
      <c r="D1" s="1" t="inlineStr">
        <is>
          <t>Original Category (P02)</t>
        </is>
      </c>
      <c r="E1" s="1" t="inlineStr">
        <is>
          <t>Assigned Category (P03)</t>
        </is>
      </c>
      <c r="F1" s="1" t="inlineStr">
        <is>
          <t>Mapping Rationale &amp; Configuration Notes</t>
        </is>
      </c>
      <c r="G1" s="1" t="inlineStr">
        <is>
          <t>Verification Method</t>
        </is>
      </c>
      <c r="H1" s="1" t="inlineStr">
        <is>
          <t>Current Status</t>
        </is>
      </c>
    </row>
    <row r="2" ht="44" customHeight="1">
      <c r="A2" s="2" t="inlineStr">
        <is>
          <t>REQ-F-001</t>
        </is>
      </c>
      <c r="B2" s="2" t="inlineStr">
        <is>
          <t>DRAFT-F-001</t>
        </is>
      </c>
      <c r="C2" s="3" t="inlineStr">
        <is>
          <t>Multi-Spectral EO/IR Video Ingress &amp; Synchronization</t>
        </is>
      </c>
      <c r="D2" s="4" t="inlineStr">
        <is>
          <t>Functional</t>
        </is>
      </c>
      <c r="E2" s="4" t="inlineStr">
        <is>
          <t>Functional</t>
        </is>
      </c>
      <c r="F2" s="3" t="inlineStr">
        <is>
          <t>Direct 1-to-1 baseline mapping with updated stable sequential identifier.</t>
        </is>
      </c>
      <c r="G2" s="4" t="inlineStr">
        <is>
          <t>Demonstration</t>
        </is>
      </c>
      <c r="H2" s="7" t="inlineStr">
        <is>
          <t>Under Review</t>
        </is>
      </c>
    </row>
    <row r="3" ht="44" customHeight="1">
      <c r="A3" s="8" t="inlineStr">
        <is>
          <t>REQ-F-002</t>
        </is>
      </c>
      <c r="B3" s="8" t="inlineStr">
        <is>
          <t>DRAFT-F-002</t>
        </is>
      </c>
      <c r="C3" s="9" t="inlineStr">
        <is>
          <t>Subsurface Micro-GPR Raw Data Ingress &amp; Buffering</t>
        </is>
      </c>
      <c r="D3" s="10" t="inlineStr">
        <is>
          <t>Functional</t>
        </is>
      </c>
      <c r="E3" s="10" t="inlineStr">
        <is>
          <t>Functional</t>
        </is>
      </c>
      <c r="F3" s="9" t="inlineStr">
        <is>
          <t>Direct 1-to-1 baseline mapping with updated stable sequential identifier.</t>
        </is>
      </c>
      <c r="G3" s="10" t="inlineStr">
        <is>
          <t>Test</t>
        </is>
      </c>
      <c r="H3" s="7" t="inlineStr">
        <is>
          <t>Under Review</t>
        </is>
      </c>
    </row>
    <row r="4" ht="44" customHeight="1">
      <c r="A4" s="2" t="inlineStr">
        <is>
          <t>REQ-F-003</t>
        </is>
      </c>
      <c r="B4" s="2" t="inlineStr">
        <is>
          <t>DRAFT-F-003</t>
        </is>
      </c>
      <c r="C4" s="3" t="inlineStr">
        <is>
          <t>4-Channel Acoustic Array Ingress &amp; TDoA Bearing Estimation</t>
        </is>
      </c>
      <c r="D4" s="4" t="inlineStr">
        <is>
          <t>Functional</t>
        </is>
      </c>
      <c r="E4" s="4" t="inlineStr">
        <is>
          <t>Functional</t>
        </is>
      </c>
      <c r="F4" s="3" t="inlineStr">
        <is>
          <t>Direct 1-to-1 baseline mapping with updated stable sequential identifier.</t>
        </is>
      </c>
      <c r="G4" s="4" t="inlineStr">
        <is>
          <t>Demonstration</t>
        </is>
      </c>
      <c r="H4" s="7" t="inlineStr">
        <is>
          <t>Under Review</t>
        </is>
      </c>
    </row>
    <row r="5" ht="44" customHeight="1">
      <c r="A5" s="8" t="inlineStr">
        <is>
          <t>REQ-F-004</t>
        </is>
      </c>
      <c r="B5" s="8" t="inlineStr">
        <is>
          <t>DRAFT-F-004</t>
        </is>
      </c>
      <c r="C5" s="9" t="inlineStr">
        <is>
          <t>GNSS-Denied Multi-Sensor VIO State Estimation</t>
        </is>
      </c>
      <c r="D5" s="10" t="inlineStr">
        <is>
          <t>Functional</t>
        </is>
      </c>
      <c r="E5" s="10" t="inlineStr">
        <is>
          <t>Functional</t>
        </is>
      </c>
      <c r="F5" s="9" t="inlineStr">
        <is>
          <t>Direct 1-to-1 baseline mapping with updated stable sequential identifier.</t>
        </is>
      </c>
      <c r="G5" s="10" t="inlineStr">
        <is>
          <t>Test</t>
        </is>
      </c>
      <c r="H5" s="7" t="inlineStr">
        <is>
          <t>Under Review</t>
        </is>
      </c>
    </row>
    <row r="6" ht="44" customHeight="1">
      <c r="A6" s="2" t="inlineStr">
        <is>
          <t>REQ-F-005</t>
        </is>
      </c>
      <c r="B6" s="2" t="inlineStr">
        <is>
          <t>DRAFT-F-005</t>
        </is>
      </c>
      <c r="C6" s="3" t="inlineStr">
        <is>
          <t>Dual-Redundant Autopilot Attitude Control &amp; Waypoint Navigation</t>
        </is>
      </c>
      <c r="D6" s="4" t="inlineStr">
        <is>
          <t>Functional</t>
        </is>
      </c>
      <c r="E6" s="4" t="inlineStr">
        <is>
          <t>Functional</t>
        </is>
      </c>
      <c r="F6" s="3" t="inlineStr">
        <is>
          <t>Direct 1-to-1 baseline mapping with updated stable sequential identifier.</t>
        </is>
      </c>
      <c r="G6" s="4" t="inlineStr">
        <is>
          <t>Demonstration</t>
        </is>
      </c>
      <c r="H6" s="7" t="inlineStr">
        <is>
          <t>Under Review</t>
        </is>
      </c>
    </row>
    <row r="7" ht="61" customHeight="1">
      <c r="A7" s="8" t="inlineStr">
        <is>
          <t>REQ-F-006</t>
        </is>
      </c>
      <c r="B7" s="8" t="inlineStr">
        <is>
          <t>DRAFT-F-006</t>
        </is>
      </c>
      <c r="C7" s="9" t="inlineStr">
        <is>
          <t>Onboard Real-Time Neural Object Detection &amp; Bounding Box Generation</t>
        </is>
      </c>
      <c r="D7" s="10" t="inlineStr">
        <is>
          <t>Functional</t>
        </is>
      </c>
      <c r="E7" s="10" t="inlineStr">
        <is>
          <t>Functional</t>
        </is>
      </c>
      <c r="F7" s="9" t="inlineStr">
        <is>
          <t>Direct 1-to-1 baseline mapping with updated stable sequential identifier.</t>
        </is>
      </c>
      <c r="G7" s="10" t="inlineStr">
        <is>
          <t>Demonstration</t>
        </is>
      </c>
      <c r="H7" s="7" t="inlineStr">
        <is>
          <t>Under Review</t>
        </is>
      </c>
    </row>
    <row r="8" ht="44" customHeight="1">
      <c r="A8" s="2" t="inlineStr">
        <is>
          <t>REQ-F-007</t>
        </is>
      </c>
      <c r="B8" s="2" t="inlineStr">
        <is>
          <t>DRAFT-F-007</t>
        </is>
      </c>
      <c r="C8" s="3" t="inlineStr">
        <is>
          <t>Vision Transformer Pixel-Level Semantic Terrain Segmentation</t>
        </is>
      </c>
      <c r="D8" s="4" t="inlineStr">
        <is>
          <t>Functional</t>
        </is>
      </c>
      <c r="E8" s="4" t="inlineStr">
        <is>
          <t>Functional</t>
        </is>
      </c>
      <c r="F8" s="3" t="inlineStr">
        <is>
          <t>Direct 1-to-1 baseline mapping with updated stable sequential identifier.</t>
        </is>
      </c>
      <c r="G8" s="4" t="inlineStr">
        <is>
          <t>Demonstration</t>
        </is>
      </c>
      <c r="H8" s="7" t="inlineStr">
        <is>
          <t>Under Review</t>
        </is>
      </c>
    </row>
    <row r="9" ht="44" customHeight="1">
      <c r="A9" s="8" t="inlineStr">
        <is>
          <t>REQ-F-008</t>
        </is>
      </c>
      <c r="B9" s="8" t="inlineStr">
        <is>
          <t>DRAFT-F-008</t>
        </is>
      </c>
      <c r="C9" s="9" t="inlineStr">
        <is>
          <t>Temporal Visual Change Detection &amp; Ground Disturbance Flagging</t>
        </is>
      </c>
      <c r="D9" s="10" t="inlineStr">
        <is>
          <t>Functional</t>
        </is>
      </c>
      <c r="E9" s="10" t="inlineStr">
        <is>
          <t>Functional</t>
        </is>
      </c>
      <c r="F9" s="9" t="inlineStr">
        <is>
          <t>Direct 1-to-1 baseline mapping with updated stable sequential identifier.</t>
        </is>
      </c>
      <c r="G9" s="10" t="inlineStr">
        <is>
          <t>Demonstration</t>
        </is>
      </c>
      <c r="H9" s="7" t="inlineStr">
        <is>
          <t>Under Review</t>
        </is>
      </c>
    </row>
    <row r="10" ht="44" customHeight="1">
      <c r="A10" s="2" t="inlineStr">
        <is>
          <t>REQ-F-009</t>
        </is>
      </c>
      <c r="B10" s="2" t="inlineStr">
        <is>
          <t>DRAFT-F-009</t>
        </is>
      </c>
      <c r="C10" s="3" t="inlineStr">
        <is>
          <t>Software-Defined Radio Wideband Spectrum Ingress &amp; RF Mapping</t>
        </is>
      </c>
      <c r="D10" s="4" t="inlineStr">
        <is>
          <t>Functional</t>
        </is>
      </c>
      <c r="E10" s="4" t="inlineStr">
        <is>
          <t>Functional</t>
        </is>
      </c>
      <c r="F10" s="3" t="inlineStr">
        <is>
          <t>Direct 1-to-1 baseline mapping with updated stable sequential identifier.</t>
        </is>
      </c>
      <c r="G10" s="4" t="inlineStr">
        <is>
          <t>Demonstration</t>
        </is>
      </c>
      <c r="H10" s="7" t="inlineStr">
        <is>
          <t>Under Review</t>
        </is>
      </c>
    </row>
    <row r="11" ht="61" customHeight="1">
      <c r="A11" s="8" t="inlineStr">
        <is>
          <t>REQ-F-010</t>
        </is>
      </c>
      <c r="B11" s="8" t="inlineStr">
        <is>
          <t>DRAFT-F-010</t>
        </is>
      </c>
      <c r="C11" s="9" t="inlineStr">
        <is>
          <t>Free-Space Optical (FSO) Directional Laser Telemetry Transmission</t>
        </is>
      </c>
      <c r="D11" s="10" t="inlineStr">
        <is>
          <t>Functional</t>
        </is>
      </c>
      <c r="E11" s="10" t="inlineStr">
        <is>
          <t>Functional</t>
        </is>
      </c>
      <c r="F11" s="9" t="inlineStr">
        <is>
          <t>Direct 1-to-1 baseline mapping with updated stable sequential identifier.</t>
        </is>
      </c>
      <c r="G11" s="10" t="inlineStr">
        <is>
          <t>Demonstration</t>
        </is>
      </c>
      <c r="H11" s="7" t="inlineStr">
        <is>
          <t>Under Review</t>
        </is>
      </c>
    </row>
    <row r="12" ht="61" customHeight="1">
      <c r="A12" s="2" t="inlineStr">
        <is>
          <t>REQ-F-011</t>
        </is>
      </c>
      <c r="B12" s="2" t="inlineStr">
        <is>
          <t>DRAFT-F-011</t>
        </is>
      </c>
      <c r="C12" s="3" t="inlineStr">
        <is>
          <t>Closed-Loop Coarse-Fine FSO Laser Pointing, Acquisition &amp; Tracking</t>
        </is>
      </c>
      <c r="D12" s="4" t="inlineStr">
        <is>
          <t>Functional</t>
        </is>
      </c>
      <c r="E12" s="4" t="inlineStr">
        <is>
          <t>Functional</t>
        </is>
      </c>
      <c r="F12" s="3" t="inlineStr">
        <is>
          <t>Direct 1-to-1 baseline mapping with updated stable sequential identifier.</t>
        </is>
      </c>
      <c r="G12" s="4" t="inlineStr">
        <is>
          <t>Test</t>
        </is>
      </c>
      <c r="H12" s="7" t="inlineStr">
        <is>
          <t>Under Review</t>
        </is>
      </c>
    </row>
    <row r="13" ht="44" customHeight="1">
      <c r="A13" s="8" t="inlineStr">
        <is>
          <t>REQ-F-012</t>
        </is>
      </c>
      <c r="B13" s="8" t="inlineStr">
        <is>
          <t>DRAFT-F-012</t>
        </is>
      </c>
      <c r="C13" s="9" t="inlineStr">
        <is>
          <t>Encrypted Frequency-Hopping SDR RF Telemetry Fallback</t>
        </is>
      </c>
      <c r="D13" s="10" t="inlineStr">
        <is>
          <t>Functional</t>
        </is>
      </c>
      <c r="E13" s="10" t="inlineStr">
        <is>
          <t>Functional</t>
        </is>
      </c>
      <c r="F13" s="9" t="inlineStr">
        <is>
          <t>Direct 1-to-1 baseline mapping with updated stable sequential identifier.</t>
        </is>
      </c>
      <c r="G13" s="10" t="inlineStr">
        <is>
          <t>Demonstration</t>
        </is>
      </c>
      <c r="H13" s="7" t="inlineStr">
        <is>
          <t>Under Review</t>
        </is>
      </c>
    </row>
    <row r="14" ht="44" customHeight="1">
      <c r="A14" s="2" t="inlineStr">
        <is>
          <t>REQ-F-013</t>
        </is>
      </c>
      <c r="B14" s="2" t="inlineStr">
        <is>
          <t>DRAFT-F-013</t>
        </is>
      </c>
      <c r="C14" s="3" t="inlineStr">
        <is>
          <t>Wind-Compensated Ballistic Release &amp; Payload Delivery Actuation</t>
        </is>
      </c>
      <c r="D14" s="4" t="inlineStr">
        <is>
          <t>Functional</t>
        </is>
      </c>
      <c r="E14" s="4" t="inlineStr">
        <is>
          <t>Functional</t>
        </is>
      </c>
      <c r="F14" s="3" t="inlineStr">
        <is>
          <t>Direct 1-to-1 baseline mapping with updated stable sequential identifier.</t>
        </is>
      </c>
      <c r="G14" s="4" t="inlineStr">
        <is>
          <t>Demonstration</t>
        </is>
      </c>
      <c r="H14" s="7" t="inlineStr">
        <is>
          <t>Under Review</t>
        </is>
      </c>
    </row>
    <row r="15" ht="61" customHeight="1">
      <c r="A15" s="8" t="inlineStr">
        <is>
          <t>REQ-SEC-001</t>
        </is>
      </c>
      <c r="B15" s="8" t="inlineStr">
        <is>
          <t>DRAFT-F-014</t>
        </is>
      </c>
      <c r="C15" s="9" t="inlineStr">
        <is>
          <t>Cryptographic Hardware Root of Trust &amp; Multi-Stage Secure Boot</t>
        </is>
      </c>
      <c r="D15" s="10" t="inlineStr">
        <is>
          <t>Functional</t>
        </is>
      </c>
      <c r="E15" s="10" t="inlineStr">
        <is>
          <t>Security</t>
        </is>
      </c>
      <c r="F15" s="9" t="inlineStr">
        <is>
          <t>Reclassified from Functional to dedicated Security category per Task 1 Section 3 ID categories convention.</t>
        </is>
      </c>
      <c r="G15" s="10" t="inlineStr">
        <is>
          <t>Test</t>
        </is>
      </c>
      <c r="H15" s="7" t="inlineStr">
        <is>
          <t>Under Review</t>
        </is>
      </c>
    </row>
    <row r="16" ht="61" customHeight="1">
      <c r="A16" s="2" t="inlineStr">
        <is>
          <t>REQ-SEC-002</t>
        </is>
      </c>
      <c r="B16" s="2" t="inlineStr">
        <is>
          <t>DRAFT-F-015</t>
        </is>
      </c>
      <c r="C16" s="3" t="inlineStr">
        <is>
          <t>Hardware-Enforced Zero-Trace Memory Sanitization &amp; Anti-Tamper Wipe</t>
        </is>
      </c>
      <c r="D16" s="4" t="inlineStr">
        <is>
          <t>Functional</t>
        </is>
      </c>
      <c r="E16" s="4" t="inlineStr">
        <is>
          <t>Security</t>
        </is>
      </c>
      <c r="F16" s="3" t="inlineStr">
        <is>
          <t>Reclassified from Functional to dedicated Security category per Task 1 Section 3 ID categories convention.</t>
        </is>
      </c>
      <c r="G16" s="4" t="inlineStr">
        <is>
          <t>Test</t>
        </is>
      </c>
      <c r="H16" s="7" t="inlineStr">
        <is>
          <t>Under Review</t>
        </is>
      </c>
    </row>
    <row r="17" ht="44" customHeight="1">
      <c r="A17" s="8" t="inlineStr">
        <is>
          <t>REQ-P-001</t>
        </is>
      </c>
      <c r="B17" s="8" t="inlineStr">
        <is>
          <t>DRAFT-P-001</t>
        </is>
      </c>
      <c r="C17" s="9" t="inlineStr">
        <is>
          <t>Flight Control Inner-Loop Deterministic Execution Latency</t>
        </is>
      </c>
      <c r="D17" s="10" t="inlineStr">
        <is>
          <t>Performance</t>
        </is>
      </c>
      <c r="E17" s="10" t="inlineStr">
        <is>
          <t>Performance</t>
        </is>
      </c>
      <c r="F17" s="9" t="inlineStr">
        <is>
          <t>Direct 1-to-1 baseline mapping with updated stable sequential identifier.</t>
        </is>
      </c>
      <c r="G17" s="10" t="inlineStr">
        <is>
          <t>Test</t>
        </is>
      </c>
      <c r="H17" s="7" t="inlineStr">
        <is>
          <t>Under Review</t>
        </is>
      </c>
    </row>
    <row r="18" ht="44" customHeight="1">
      <c r="A18" s="2" t="inlineStr">
        <is>
          <t>REQ-P-002</t>
        </is>
      </c>
      <c r="B18" s="2" t="inlineStr">
        <is>
          <t>DRAFT-P-002</t>
        </is>
      </c>
      <c r="C18" s="3" t="inlineStr">
        <is>
          <t>High-Altitude Operational Service Ceiling</t>
        </is>
      </c>
      <c r="D18" s="4" t="inlineStr">
        <is>
          <t>Performance</t>
        </is>
      </c>
      <c r="E18" s="4" t="inlineStr">
        <is>
          <t>Performance</t>
        </is>
      </c>
      <c r="F18" s="3" t="inlineStr">
        <is>
          <t>Direct 1-to-1 baseline mapping with updated stable sequential identifier.</t>
        </is>
      </c>
      <c r="G18" s="4" t="inlineStr">
        <is>
          <t>Test</t>
        </is>
      </c>
      <c r="H18" s="7" t="inlineStr">
        <is>
          <t>Under Review</t>
        </is>
      </c>
    </row>
    <row r="19" ht="44" customHeight="1">
      <c r="A19" s="8" t="inlineStr">
        <is>
          <t>REQ-P-003</t>
        </is>
      </c>
      <c r="B19" s="8" t="inlineStr">
        <is>
          <t>DRAFT-P-003</t>
        </is>
      </c>
      <c r="C19" s="9" t="inlineStr">
        <is>
          <t>Flight Stabilization Mountain Wind Shear Resistance</t>
        </is>
      </c>
      <c r="D19" s="10" t="inlineStr">
        <is>
          <t>Performance</t>
        </is>
      </c>
      <c r="E19" s="10" t="inlineStr">
        <is>
          <t>Performance</t>
        </is>
      </c>
      <c r="F19" s="9" t="inlineStr">
        <is>
          <t>Direct 1-to-1 baseline mapping with updated stable sequential identifier.</t>
        </is>
      </c>
      <c r="G19" s="10" t="inlineStr">
        <is>
          <t>Test</t>
        </is>
      </c>
      <c r="H19" s="7" t="inlineStr">
        <is>
          <t>Under Review</t>
        </is>
      </c>
    </row>
    <row r="20" ht="44" customHeight="1">
      <c r="A20" s="2" t="inlineStr">
        <is>
          <t>REQ-P-004</t>
        </is>
      </c>
      <c r="B20" s="2" t="inlineStr">
        <is>
          <t>DRAFT-P-004</t>
        </is>
      </c>
      <c r="C20" s="3" t="inlineStr">
        <is>
          <t>Sub-Zero Cold-Weather Operating Thermal Envelope</t>
        </is>
      </c>
      <c r="D20" s="4" t="inlineStr">
        <is>
          <t>Performance</t>
        </is>
      </c>
      <c r="E20" s="4" t="inlineStr">
        <is>
          <t>Performance</t>
        </is>
      </c>
      <c r="F20" s="3" t="inlineStr">
        <is>
          <t>Direct 1-to-1 baseline mapping with updated stable sequential identifier.</t>
        </is>
      </c>
      <c r="G20" s="4" t="inlineStr">
        <is>
          <t>Test</t>
        </is>
      </c>
      <c r="H20" s="7" t="inlineStr">
        <is>
          <t>Under Review</t>
        </is>
      </c>
    </row>
    <row r="21" ht="44" customHeight="1">
      <c r="A21" s="8" t="inlineStr">
        <is>
          <t>REQ-P-005</t>
        </is>
      </c>
      <c r="B21" s="8" t="inlineStr">
        <is>
          <t>DRAFT-P-005</t>
        </is>
      </c>
      <c r="C21" s="9" t="inlineStr">
        <is>
          <t>GNSS-Denied Positional Drift Bound</t>
        </is>
      </c>
      <c r="D21" s="10" t="inlineStr">
        <is>
          <t>Performance</t>
        </is>
      </c>
      <c r="E21" s="10" t="inlineStr">
        <is>
          <t>Performance</t>
        </is>
      </c>
      <c r="F21" s="9" t="inlineStr">
        <is>
          <t>Direct 1-to-1 baseline mapping with updated stable sequential identifier.</t>
        </is>
      </c>
      <c r="G21" s="10" t="inlineStr">
        <is>
          <t>Test</t>
        </is>
      </c>
      <c r="H21" s="7" t="inlineStr">
        <is>
          <t>Under Review</t>
        </is>
      </c>
    </row>
    <row r="22" ht="44" customHeight="1">
      <c r="A22" s="2" t="inlineStr">
        <is>
          <t>REQ-P-006</t>
        </is>
      </c>
      <c r="B22" s="2" t="inlineStr">
        <is>
          <t>DRAFT-P-006</t>
        </is>
      </c>
      <c r="C22" s="3" t="inlineStr">
        <is>
          <t>Directional Free-Space Optical Data Throughput &amp; Link Range</t>
        </is>
      </c>
      <c r="D22" s="4" t="inlineStr">
        <is>
          <t>Performance</t>
        </is>
      </c>
      <c r="E22" s="4" t="inlineStr">
        <is>
          <t>Performance</t>
        </is>
      </c>
      <c r="F22" s="3" t="inlineStr">
        <is>
          <t>Direct 1-to-1 baseline mapping with updated stable sequential identifier.</t>
        </is>
      </c>
      <c r="G22" s="4" t="inlineStr">
        <is>
          <t>Test</t>
        </is>
      </c>
      <c r="H22" s="7" t="inlineStr">
        <is>
          <t>Under Review</t>
        </is>
      </c>
    </row>
    <row r="23" ht="44" customHeight="1">
      <c r="A23" s="8" t="inlineStr">
        <is>
          <t>REQ-P-007</t>
        </is>
      </c>
      <c r="B23" s="8" t="inlineStr">
        <is>
          <t>DRAFT-P-007</t>
        </is>
      </c>
      <c r="C23" s="9" t="inlineStr">
        <is>
          <t>Heterogeneous Edge Compute AI Processing Capacity</t>
        </is>
      </c>
      <c r="D23" s="10" t="inlineStr">
        <is>
          <t>Performance</t>
        </is>
      </c>
      <c r="E23" s="10" t="inlineStr">
        <is>
          <t>Performance</t>
        </is>
      </c>
      <c r="F23" s="9" t="inlineStr">
        <is>
          <t>Direct 1-to-1 baseline mapping with updated stable sequential identifier.</t>
        </is>
      </c>
      <c r="G23" s="10" t="inlineStr">
        <is>
          <t>Inspection</t>
        </is>
      </c>
      <c r="H23" s="7" t="inlineStr">
        <is>
          <t>Under Review</t>
        </is>
      </c>
    </row>
    <row r="24" ht="44" customHeight="1">
      <c r="A24" s="2" t="inlineStr">
        <is>
          <t>REQ-P-008</t>
        </is>
      </c>
      <c r="B24" s="2" t="inlineStr">
        <is>
          <t>DRAFT-P-008</t>
        </is>
      </c>
      <c r="C24" s="3" t="inlineStr">
        <is>
          <t>Quantized Neural Inference Real-Time Frame Throughput</t>
        </is>
      </c>
      <c r="D24" s="4" t="inlineStr">
        <is>
          <t>Performance</t>
        </is>
      </c>
      <c r="E24" s="4" t="inlineStr">
        <is>
          <t>Performance</t>
        </is>
      </c>
      <c r="F24" s="3" t="inlineStr">
        <is>
          <t>Direct 1-to-1 baseline mapping with updated stable sequential identifier.</t>
        </is>
      </c>
      <c r="G24" s="4" t="inlineStr">
        <is>
          <t>Test</t>
        </is>
      </c>
      <c r="H24" s="7" t="inlineStr">
        <is>
          <t>Under Review</t>
        </is>
      </c>
    </row>
    <row r="25" ht="44" customHeight="1">
      <c r="A25" s="8" t="inlineStr">
        <is>
          <t>REQ-P-009</t>
        </is>
      </c>
      <c r="B25" s="8" t="inlineStr">
        <is>
          <t>DRAFT-P-009</t>
        </is>
      </c>
      <c r="C25" s="9" t="inlineStr">
        <is>
          <t>Low-RCS Stealth Airframe Radar Cross-Section</t>
        </is>
      </c>
      <c r="D25" s="10" t="inlineStr">
        <is>
          <t>Performance</t>
        </is>
      </c>
      <c r="E25" s="10" t="inlineStr">
        <is>
          <t>Performance</t>
        </is>
      </c>
      <c r="F25" s="9" t="inlineStr">
        <is>
          <t>Direct 1-to-1 baseline mapping with updated stable sequential identifier.</t>
        </is>
      </c>
      <c r="G25" s="10" t="inlineStr">
        <is>
          <t>Analysis</t>
        </is>
      </c>
      <c r="H25" s="7" t="inlineStr">
        <is>
          <t>Under Review</t>
        </is>
      </c>
    </row>
    <row r="26" ht="44" customHeight="1">
      <c r="A26" s="2" t="inlineStr">
        <is>
          <t>REQ-P-010</t>
        </is>
      </c>
      <c r="B26" s="2" t="inlineStr">
        <is>
          <t>DRAFT-P-010</t>
        </is>
      </c>
      <c r="C26" s="3" t="inlineStr">
        <is>
          <t>Wideband Software-Defined Radio Spectrum Monitoring Range</t>
        </is>
      </c>
      <c r="D26" s="4" t="inlineStr">
        <is>
          <t>Performance</t>
        </is>
      </c>
      <c r="E26" s="4" t="inlineStr">
        <is>
          <t>Performance</t>
        </is>
      </c>
      <c r="F26" s="3" t="inlineStr">
        <is>
          <t>Direct 1-to-1 baseline mapping with updated stable sequential identifier.</t>
        </is>
      </c>
      <c r="G26" s="4" t="inlineStr">
        <is>
          <t>Test</t>
        </is>
      </c>
      <c r="H26" s="7" t="inlineStr">
        <is>
          <t>Under Review</t>
        </is>
      </c>
    </row>
    <row r="27" ht="44" customHeight="1">
      <c r="A27" s="8" t="inlineStr">
        <is>
          <t>REQ-S-001</t>
        </is>
      </c>
      <c r="B27" s="8" t="inlineStr">
        <is>
          <t>DRAFT-S-001</t>
        </is>
      </c>
      <c r="C27" s="9" t="inlineStr">
        <is>
          <t>Asynchronous Hardware Firewall &amp; Autopilot Core Isolation</t>
        </is>
      </c>
      <c r="D27" s="10" t="inlineStr">
        <is>
          <t>Safety</t>
        </is>
      </c>
      <c r="E27" s="10" t="inlineStr">
        <is>
          <t>Safety</t>
        </is>
      </c>
      <c r="F27" s="9" t="inlineStr">
        <is>
          <t>Direct 1-to-1 baseline mapping with updated stable sequential identifier.</t>
        </is>
      </c>
      <c r="G27" s="10" t="inlineStr">
        <is>
          <t>Inspection</t>
        </is>
      </c>
      <c r="H27" s="7" t="inlineStr">
        <is>
          <t>Under Review</t>
        </is>
      </c>
    </row>
    <row r="28" ht="44" customHeight="1">
      <c r="A28" s="2" t="inlineStr">
        <is>
          <t>REQ-S-002</t>
        </is>
      </c>
      <c r="B28" s="2" t="inlineStr">
        <is>
          <t>DRAFT-S-002</t>
        </is>
      </c>
      <c r="C28" s="3" t="inlineStr">
        <is>
          <t>Airborne Flight Software &amp; Electronic Hardware Safety Standards</t>
        </is>
      </c>
      <c r="D28" s="4" t="inlineStr">
        <is>
          <t>Safety</t>
        </is>
      </c>
      <c r="E28" s="4" t="inlineStr">
        <is>
          <t>Safety</t>
        </is>
      </c>
      <c r="F28" s="3" t="inlineStr">
        <is>
          <t>Direct 1-to-1 baseline mapping with updated stable sequential identifier.</t>
        </is>
      </c>
      <c r="G28" s="4" t="inlineStr">
        <is>
          <t>Analysis</t>
        </is>
      </c>
      <c r="H28" s="7" t="inlineStr">
        <is>
          <t>Under Review</t>
        </is>
      </c>
    </row>
    <row r="29" ht="61" customHeight="1">
      <c r="A29" s="8" t="inlineStr">
        <is>
          <t>REQ-S-003</t>
        </is>
      </c>
      <c r="B29" s="8" t="inlineStr">
        <is>
          <t>DRAFT-S-003</t>
        </is>
      </c>
      <c r="C29" s="9" t="inlineStr">
        <is>
          <t>Redundant Avionics Bus Communications &amp; Hardware Watchdog Failsafe</t>
        </is>
      </c>
      <c r="D29" s="10" t="inlineStr">
        <is>
          <t>Safety</t>
        </is>
      </c>
      <c r="E29" s="10" t="inlineStr">
        <is>
          <t>Safety</t>
        </is>
      </c>
      <c r="F29" s="9" t="inlineStr">
        <is>
          <t>Direct 1-to-1 baseline mapping with updated stable sequential identifier.</t>
        </is>
      </c>
      <c r="G29" s="10" t="inlineStr">
        <is>
          <t>Test</t>
        </is>
      </c>
      <c r="H29" s="7" t="inlineStr">
        <is>
          <t>Under Review</t>
        </is>
      </c>
    </row>
    <row r="30" ht="44" customHeight="1">
      <c r="A30" s="2" t="inlineStr">
        <is>
          <t>REQ-S-004</t>
        </is>
      </c>
      <c r="B30" s="2" t="inlineStr">
        <is>
          <t>DRAFT-S-004</t>
        </is>
      </c>
      <c r="C30" s="3" t="inlineStr">
        <is>
          <t>Dual-Redundant Opto-Isolated Cargo Release Safety Interlock</t>
        </is>
      </c>
      <c r="D30" s="4" t="inlineStr">
        <is>
          <t>Safety</t>
        </is>
      </c>
      <c r="E30" s="4" t="inlineStr">
        <is>
          <t>Safety</t>
        </is>
      </c>
      <c r="F30" s="3" t="inlineStr">
        <is>
          <t>Direct 1-to-1 baseline mapping with updated stable sequential identifier.</t>
        </is>
      </c>
      <c r="G30" s="4" t="inlineStr">
        <is>
          <t>Test</t>
        </is>
      </c>
      <c r="H30" s="7" t="inlineStr">
        <is>
          <t>Under Review</t>
        </is>
      </c>
    </row>
    <row r="31" ht="44" customHeight="1">
      <c r="A31" s="8" t="inlineStr">
        <is>
          <t>REQ-S-005</t>
        </is>
      </c>
      <c r="B31" s="8" t="inlineStr">
        <is>
          <t>DRAFT-S-005</t>
        </is>
      </c>
      <c r="C31" s="9" t="inlineStr">
        <is>
          <t>Air-Gapped Inter-Process Communication &amp; Network Isolation</t>
        </is>
      </c>
      <c r="D31" s="10" t="inlineStr">
        <is>
          <t>Safety</t>
        </is>
      </c>
      <c r="E31" s="10" t="inlineStr">
        <is>
          <t>Safety</t>
        </is>
      </c>
      <c r="F31" s="9" t="inlineStr">
        <is>
          <t>Direct 1-to-1 baseline mapping with updated stable sequential identifier.</t>
        </is>
      </c>
      <c r="G31" s="10" t="inlineStr">
        <is>
          <t>Inspection</t>
        </is>
      </c>
      <c r="H31" s="7" t="inlineStr">
        <is>
          <t>Under Review</t>
        </is>
      </c>
    </row>
    <row r="32" ht="44" customHeight="1">
      <c r="A32" s="2" t="inlineStr">
        <is>
          <t>REQ-S-006</t>
        </is>
      </c>
      <c r="B32" s="2" t="inlineStr">
        <is>
          <t>DRAFT-S-006</t>
        </is>
      </c>
      <c r="C32" s="3" t="inlineStr">
        <is>
          <t>Pre-Flight Benchtop Integration Zero Bus Collision Endurance</t>
        </is>
      </c>
      <c r="D32" s="4" t="inlineStr">
        <is>
          <t>Safety</t>
        </is>
      </c>
      <c r="E32" s="4" t="inlineStr">
        <is>
          <t>Safety</t>
        </is>
      </c>
      <c r="F32" s="3" t="inlineStr">
        <is>
          <t>Direct 1-to-1 baseline mapping with updated stable sequential identifier.</t>
        </is>
      </c>
      <c r="G32" s="4" t="inlineStr">
        <is>
          <t>Test</t>
        </is>
      </c>
      <c r="H32" s="7" t="inlineStr">
        <is>
          <t>Under Review</t>
        </is>
      </c>
    </row>
    <row r="33" ht="61" customHeight="1">
      <c r="A33" s="8" t="inlineStr">
        <is>
          <t>REQ-D-001</t>
        </is>
      </c>
      <c r="B33" s="8" t="inlineStr">
        <is>
          <t>DRAFT-D-001</t>
        </is>
      </c>
      <c r="C33" s="9" t="inlineStr">
        <is>
          <t>Baseline System Requirements Specification (SRS) Milestone Freeze</t>
        </is>
      </c>
      <c r="D33" s="10" t="inlineStr">
        <is>
          <t>Documentation</t>
        </is>
      </c>
      <c r="E33" s="10" t="inlineStr">
        <is>
          <t>Documentation</t>
        </is>
      </c>
      <c r="F33" s="9" t="inlineStr">
        <is>
          <t>Direct 1-to-1 baseline mapping with updated stable sequential identifier.</t>
        </is>
      </c>
      <c r="G33" s="10" t="inlineStr">
        <is>
          <t>Inspection</t>
        </is>
      </c>
      <c r="H33" s="7" t="inlineStr">
        <is>
          <t>Under Review</t>
        </is>
      </c>
    </row>
    <row r="34" ht="44" customHeight="1">
      <c r="A34" s="2" t="inlineStr">
        <is>
          <t>REQ-D-002</t>
        </is>
      </c>
      <c r="B34" s="2" t="inlineStr">
        <is>
          <t>DRAFT-D-002</t>
        </is>
      </c>
      <c r="C34" s="3" t="inlineStr">
        <is>
          <t>Configuration-Controlled Project Scope Baseline Maintenance</t>
        </is>
      </c>
      <c r="D34" s="4" t="inlineStr">
        <is>
          <t>Documentation</t>
        </is>
      </c>
      <c r="E34" s="4" t="inlineStr">
        <is>
          <t>Documentation</t>
        </is>
      </c>
      <c r="F34" s="3" t="inlineStr">
        <is>
          <t>Direct 1-to-1 baseline mapping with updated stable sequential identifier.</t>
        </is>
      </c>
      <c r="G34" s="4" t="inlineStr">
        <is>
          <t>Inspection</t>
        </is>
      </c>
      <c r="H34" s="7" t="inlineStr">
        <is>
          <t>Under Review</t>
        </is>
      </c>
    </row>
    <row r="35" ht="44" customHeight="1">
      <c r="A35" s="8" t="inlineStr">
        <is>
          <t>REQ-D-003</t>
        </is>
      </c>
      <c r="B35" s="8" t="inlineStr">
        <is>
          <t>DRAFT-D-003</t>
        </is>
      </c>
      <c r="C35" s="9" t="inlineStr">
        <is>
          <t>Auditable Numbered Requirements Register Maintenance</t>
        </is>
      </c>
      <c r="D35" s="10" t="inlineStr">
        <is>
          <t>Documentation</t>
        </is>
      </c>
      <c r="E35" s="10" t="inlineStr">
        <is>
          <t>Documentation</t>
        </is>
      </c>
      <c r="F35" s="9" t="inlineStr">
        <is>
          <t>Direct 1-to-1 baseline mapping with updated stable sequential identifier.</t>
        </is>
      </c>
      <c r="G35" s="10" t="inlineStr">
        <is>
          <t>Inspection</t>
        </is>
      </c>
      <c r="H35" s="7" t="inlineStr">
        <is>
          <t>Under Review</t>
        </is>
      </c>
    </row>
    <row r="36" ht="61" customHeight="1">
      <c r="A36" s="2" t="inlineStr">
        <is>
          <t>REQ-D-004</t>
        </is>
      </c>
      <c r="B36" s="2" t="inlineStr">
        <is>
          <t>DRAFT-D-004</t>
        </is>
      </c>
      <c r="C36" s="3" t="inlineStr">
        <is>
          <t>Safety Lifecycle Compliance Data &amp; Requirement Traceability Matrix</t>
        </is>
      </c>
      <c r="D36" s="4" t="inlineStr">
        <is>
          <t>Documentation</t>
        </is>
      </c>
      <c r="E36" s="4" t="inlineStr">
        <is>
          <t>Documentation</t>
        </is>
      </c>
      <c r="F36" s="3" t="inlineStr">
        <is>
          <t>Direct 1-to-1 baseline mapping with updated stable sequential identifier.</t>
        </is>
      </c>
      <c r="G36" s="4" t="inlineStr">
        <is>
          <t>Inspection</t>
        </is>
      </c>
      <c r="H36" s="7" t="inlineStr">
        <is>
          <t>Under Review</t>
        </is>
      </c>
    </row>
    <row r="37" ht="61" customHeight="1">
      <c r="A37" s="8" t="inlineStr">
        <is>
          <t>REQ-D-005</t>
        </is>
      </c>
      <c r="B37" s="8" t="inlineStr">
        <is>
          <t>DRAFT-D-005</t>
        </is>
      </c>
      <c r="C37" s="9" t="inlineStr">
        <is>
          <t>Hardware-in-the-Loop Integration &amp; Thermal Profiling Test Reports</t>
        </is>
      </c>
      <c r="D37" s="10" t="inlineStr">
        <is>
          <t>Documentation</t>
        </is>
      </c>
      <c r="E37" s="10" t="inlineStr">
        <is>
          <t>Documentation</t>
        </is>
      </c>
      <c r="F37" s="9" t="inlineStr">
        <is>
          <t>Direct 1-to-1 baseline mapping with updated stable sequential identifier.</t>
        </is>
      </c>
      <c r="G37" s="10" t="inlineStr">
        <is>
          <t>Inspection</t>
        </is>
      </c>
      <c r="H37" s="7" t="inlineStr">
        <is>
          <t>Under Review</t>
        </is>
      </c>
    </row>
    <row r="38" ht="61" customHeight="1">
      <c r="A38" s="2" t="inlineStr">
        <is>
          <t>REQ-D-006</t>
        </is>
      </c>
      <c r="B38" s="2" t="inlineStr">
        <is>
          <t>DRAFT-D-006</t>
        </is>
      </c>
      <c r="C38" s="3" t="inlineStr">
        <is>
          <t>Comprehensive Defense Qualification &amp; Pre-Induction Trial Dossiers</t>
        </is>
      </c>
      <c r="D38" s="4" t="inlineStr">
        <is>
          <t>Documentation</t>
        </is>
      </c>
      <c r="E38" s="4" t="inlineStr">
        <is>
          <t>Documentation</t>
        </is>
      </c>
      <c r="F38" s="3" t="inlineStr">
        <is>
          <t>Direct 1-to-1 baseline mapping with updated stable sequential identifier.</t>
        </is>
      </c>
      <c r="G38" s="4" t="inlineStr">
        <is>
          <t>Inspection</t>
        </is>
      </c>
      <c r="H38" s="7" t="inlineStr">
        <is>
          <t>Under Review</t>
        </is>
      </c>
    </row>
  </sheetData>
  <autoFilter ref="A1:H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42" customWidth="1" min="4" max="4"/>
    <col width="65" customWidth="1" min="5" max="5"/>
  </cols>
  <sheetData>
    <row r="1" ht="28" customHeight="1">
      <c r="A1" s="13" t="inlineStr">
        <is>
          <t>RUDRAEDGE RE-T1 (SPECTRA) — REQUIREMENTS REGISTER SUMMARY DASHBOARD</t>
        </is>
      </c>
    </row>
    <row r="2" ht="22" customHeight="1">
      <c r="A2" s="14" t="inlineStr">
        <is>
          <t>Project ID: RE-iDEX-PROPOSAL-2026-R1 | Document: P03_Numbered_Requirements_Register.xlsx | Date: 23 October 2026</t>
        </is>
      </c>
    </row>
    <row r="4" ht="28" customHeight="1">
      <c r="A4" s="1" t="inlineStr">
        <is>
          <t>Requirement Category</t>
        </is>
      </c>
      <c r="B4" s="1" t="inlineStr">
        <is>
          <t>Number of Requirements (Count)</t>
        </is>
      </c>
      <c r="C4" s="1" t="inlineStr">
        <is>
          <t>Percentage of Total</t>
        </is>
      </c>
      <c r="D4" s="1" t="inlineStr">
        <is>
          <t>ID Prefix</t>
        </is>
      </c>
      <c r="E4" s="1" t="inlineStr">
        <is>
          <t>Category Scope &amp; Focus Description</t>
        </is>
      </c>
    </row>
    <row r="5" ht="59" customHeight="1">
      <c r="A5" s="8" t="inlineStr">
        <is>
          <t>Functional</t>
        </is>
      </c>
      <c r="B5" s="10">
        <f>COUNTIF(Requirements_Register!D2:D38, "Functional")</f>
        <v/>
      </c>
      <c r="C5" s="15">
        <f>B5/$B$10</f>
        <v/>
      </c>
      <c r="D5" s="10" t="inlineStr">
        <is>
          <t>REQ-F-xxx</t>
        </is>
      </c>
      <c r="E5" s="9" t="inlineStr">
        <is>
          <t>Core flight autonomy, EO/IR perception, micro-GPR, acoustic TDoA, VIO navigation, edge AI models, FSO laser communications, and cargo release.</t>
        </is>
      </c>
    </row>
    <row r="6" ht="59" customHeight="1">
      <c r="A6" s="2" t="inlineStr">
        <is>
          <t>Security</t>
        </is>
      </c>
      <c r="B6" s="4">
        <f>COUNTIF(Requirements_Register!D2:D38, "Security")</f>
        <v/>
      </c>
      <c r="C6" s="16">
        <f>B6/$B$10</f>
        <v/>
      </c>
      <c r="D6" s="4" t="inlineStr">
        <is>
          <t>REQ-SEC-xxx</t>
        </is>
      </c>
      <c r="E6" s="3" t="inlineStr">
        <is>
          <t>Hardware Root of Trust, cryptographically authenticated secure boot, anti-tamper triggers, and instant zero-trace memory wiping upon breach.</t>
        </is>
      </c>
    </row>
    <row r="7" ht="76" customHeight="1">
      <c r="A7" s="8" t="inlineStr">
        <is>
          <t>Performance</t>
        </is>
      </c>
      <c r="B7" s="10">
        <f>COUNTIF(Requirements_Register!D2:D38, "Performance")</f>
        <v/>
      </c>
      <c r="C7" s="15">
        <f>B7/$B$10</f>
        <v/>
      </c>
      <c r="D7" s="10" t="inlineStr">
        <is>
          <t>REQ-P-xxx</t>
        </is>
      </c>
      <c r="E7" s="9" t="inlineStr">
        <is>
          <t>Quantified engineering thresholds: &lt;1ms inner-loop latency, 6,500m ceiling, 25 m/s wind shear, -20°C chamber envelope, sub-meter drift, 1.2 Gbps FSO link, 60 FPS inference.</t>
        </is>
      </c>
    </row>
    <row r="8" ht="76" customHeight="1">
      <c r="A8" s="2" t="inlineStr">
        <is>
          <t>Safety</t>
        </is>
      </c>
      <c r="B8" s="4">
        <f>COUNTIF(Requirements_Register!D2:D38, "Safety")</f>
        <v/>
      </c>
      <c r="C8" s="16">
        <f>B8/$B$10</f>
        <v/>
      </c>
      <c r="D8" s="4" t="inlineStr">
        <is>
          <t>REQ-S-xxx</t>
        </is>
      </c>
      <c r="E8" s="3" t="inlineStr">
        <is>
          <t>Architectural isolation firewalls, bare-metal autopilot core separation, redundant avionics buses with watchdogs, dual opto-isolated cargo release, and 48h zero-collision tests.</t>
        </is>
      </c>
    </row>
    <row r="9" ht="76" customHeight="1">
      <c r="A9" s="8" t="inlineStr">
        <is>
          <t>Documentation</t>
        </is>
      </c>
      <c r="B9" s="10">
        <f>COUNTIF(Requirements_Register!D2:D38, "Documentation")</f>
        <v/>
      </c>
      <c r="C9" s="15">
        <f>B9/$B$10</f>
        <v/>
      </c>
      <c r="D9" s="10" t="inlineStr">
        <is>
          <t>REQ-D-xxx</t>
        </is>
      </c>
      <c r="E9" s="9" t="inlineStr">
        <is>
          <t>Governing lifecycle artifacts: SRS milestone freeze, scope baseline, numbered requirements register, safety compliance matrices, HIL test reports, and defense qualification dossiers.</t>
        </is>
      </c>
    </row>
    <row r="10" ht="26" customHeight="1">
      <c r="A10" s="17" t="inlineStr">
        <is>
          <t>Total Requirements Registered</t>
        </is>
      </c>
      <c r="B10" s="17">
        <f>SUM(B5:B9)</f>
        <v/>
      </c>
      <c r="C10" s="18">
        <f>SUM(C5:C9)</f>
        <v/>
      </c>
      <c r="D10" s="17" t="inlineStr">
        <is>
          <t>37 Registered</t>
        </is>
      </c>
      <c r="E10" s="19" t="inlineStr">
        <is>
          <t>Complete auditable inventory of all requirements baselined under Task 1.</t>
        </is>
      </c>
    </row>
    <row r="12" ht="24" customHeight="1">
      <c r="A12" s="20" t="inlineStr">
        <is>
          <t>Verification Method Breakdown</t>
        </is>
      </c>
      <c r="D12" s="20" t="inlineStr">
        <is>
          <t>Priority &amp; Status Governance</t>
        </is>
      </c>
    </row>
    <row r="13" ht="22" customHeight="1">
      <c r="A13" s="21" t="inlineStr">
        <is>
          <t>Verification Method</t>
        </is>
      </c>
      <c r="B13" s="21" t="inlineStr">
        <is>
          <t>Count</t>
        </is>
      </c>
      <c r="C13" s="21" t="inlineStr">
        <is>
          <t>Percentage</t>
        </is>
      </c>
      <c r="D13" s="21" t="inlineStr">
        <is>
          <t>Attribute / Classification</t>
        </is>
      </c>
      <c r="E13" s="21" t="inlineStr">
        <is>
          <t>Count / Distribution</t>
        </is>
      </c>
    </row>
    <row r="14" ht="22" customHeight="1">
      <c r="A14" s="3" t="inlineStr">
        <is>
          <t>Demonstration</t>
        </is>
      </c>
      <c r="B14" s="4">
        <f>COUNTIF(Requirements_Register!J2:J38, "Demonstration")</f>
        <v/>
      </c>
      <c r="C14" s="16">
        <f>B14/$B$18</f>
        <v/>
      </c>
      <c r="D14" s="3" t="inlineStr">
        <is>
          <t>Priority: Critical (Safety &amp; Flight Critical)</t>
        </is>
      </c>
      <c r="E14" s="4">
        <f>COUNTIF(Requirements_Register!H2:H38, "Critical")</f>
        <v/>
      </c>
    </row>
    <row r="15" ht="22" customHeight="1">
      <c r="A15" s="9" t="inlineStr">
        <is>
          <t>Test</t>
        </is>
      </c>
      <c r="B15" s="10">
        <f>COUNTIF(Requirements_Register!J2:J38, "Test")</f>
        <v/>
      </c>
      <c r="C15" s="15">
        <f>B15/$B$18</f>
        <v/>
      </c>
      <c r="D15" s="9" t="inlineStr">
        <is>
          <t>Priority: High (Operational Mission Success)</t>
        </is>
      </c>
      <c r="E15" s="10">
        <f>COUNTIF(Requirements_Register!H2:H38, "High")</f>
        <v/>
      </c>
    </row>
    <row r="16" ht="22" customHeight="1">
      <c r="A16" s="3" t="inlineStr">
        <is>
          <t>Inspection</t>
        </is>
      </c>
      <c r="B16" s="4">
        <f>COUNTIF(Requirements_Register!J2:J38, "Inspection")</f>
        <v/>
      </c>
      <c r="C16" s="16">
        <f>B16/$B$18</f>
        <v/>
      </c>
      <c r="D16" s="3" t="inlineStr">
        <is>
          <t>Priority: Medium (Documentation &amp; Lifecycle Governance)</t>
        </is>
      </c>
      <c r="E16" s="4">
        <f>COUNTIF(Requirements_Register!H2:H38, "Medium")</f>
        <v/>
      </c>
    </row>
    <row r="17" ht="22" customHeight="1">
      <c r="A17" s="9" t="inlineStr">
        <is>
          <t>Analysis</t>
        </is>
      </c>
      <c r="B17" s="10">
        <f>COUNTIF(Requirements_Register!J2:J38, "Analysis")</f>
        <v/>
      </c>
      <c r="C17" s="15">
        <f>B17/$B$18</f>
        <v/>
      </c>
      <c r="D17" s="9" t="inlineStr">
        <is>
          <t>Status: Under Review (Milestone 1 SRS Baseline)</t>
        </is>
      </c>
      <c r="E17" s="10">
        <f>COUNTIF(Requirements_Register!M2:M38, "Under Review")</f>
        <v/>
      </c>
    </row>
    <row r="18" ht="22" customHeight="1">
      <c r="A18" s="22" t="inlineStr">
        <is>
          <t>Total Verification Actions</t>
        </is>
      </c>
      <c r="B18" s="17">
        <f>SUM(B14:B17)</f>
        <v/>
      </c>
      <c r="C18" s="18">
        <f>SUM(C14:C17)</f>
        <v/>
      </c>
      <c r="D18" s="3" t="inlineStr">
        <is>
          <t>Status: Approved (Evidence of Approval Required)</t>
        </is>
      </c>
      <c r="E18" s="4">
        <f>COUNTIF(Requirements_Register!M2:M38, "Approved")</f>
        <v/>
      </c>
    </row>
  </sheetData>
  <mergeCells count="4">
    <mergeCell ref="A2:E2"/>
    <mergeCell ref="A1:E1"/>
    <mergeCell ref="A12:C12"/>
    <mergeCell ref="D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52" customWidth="1" min="4" max="4"/>
    <col width="44" customWidth="1" min="5" max="5"/>
    <col width="44" customWidth="1" min="6" max="6"/>
    <col width="46" customWidth="1" min="7" max="7"/>
  </cols>
  <sheetData>
    <row r="1" ht="34" customHeight="1">
      <c r="A1" s="1" t="inlineStr">
        <is>
          <t>Issue ID</t>
        </is>
      </c>
      <c r="B1" s="1" t="inlineStr">
        <is>
          <t>Associated REQ ID(s)</t>
        </is>
      </c>
      <c r="C1" s="1" t="inlineStr">
        <is>
          <t>Issue / Flag Classification</t>
        </is>
      </c>
      <c r="D1" s="1" t="inlineStr">
        <is>
          <t>Identified Discrepancy, Ambiguity, or Scope Gap</t>
        </is>
      </c>
      <c r="E1" s="1" t="inlineStr">
        <is>
          <t>Comparison of Documented Sources (P02 vs REA-T1)</t>
        </is>
      </c>
      <c r="F1" s="1" t="inlineStr">
        <is>
          <t>Engineering Impact &amp; Verification Risk</t>
        </is>
      </c>
      <c r="G1" s="1" t="inlineStr">
        <is>
          <t>Recommended Action for Review Board</t>
        </is>
      </c>
    </row>
    <row r="2" ht="138" customHeight="1">
      <c r="A2" s="2" t="inlineStr">
        <is>
          <t>ISS-01</t>
        </is>
      </c>
      <c r="B2" s="4" t="inlineStr">
        <is>
          <t>All REQ IDs</t>
        </is>
      </c>
      <c r="C2" s="4" t="inlineStr">
        <is>
          <t>Project Identity &amp; Document Misalignment</t>
        </is>
      </c>
      <c r="D2" s="3" t="inlineStr">
        <is>
          <t>The previous initial requirements register (P02) referenced 'AeroVanguard AV-X9 Aetheris (Block II)' and document 'AVT-AETH-2026-X9'. The official master project document is 'RudraEdge RE-T1 (Spectra)' under Document ID 'REA-T1-OVERVIEW-2026-V1.0' and Project ID 'RE-iDEX-PROPOSAL-2026-R1'.</t>
        </is>
      </c>
      <c r="E2" s="3" t="inlineStr">
        <is>
          <t>P02: AeroVanguard AV-X9 Aetheris (VP Aris Thorne)
REA-T1: RudraEdge RE-T1 Spectra (Lead Sarvesh Sharma)</t>
        </is>
      </c>
      <c r="F2" s="3" t="inlineStr">
        <is>
          <t>Low technical risk, but high configuration and contractual risk if outdated platform designations are referenced in procurement dossiers.</t>
        </is>
      </c>
      <c r="G2" s="3" t="inlineStr">
        <is>
          <t>Formally align all subsequent deliverable headers and traceability documents with RudraEdge RE-T1 (Spectra) and REA-T1-OVERVIEW-2026-V1.0.</t>
        </is>
      </c>
    </row>
    <row r="3" ht="120" customHeight="1">
      <c r="A3" s="8" t="inlineStr">
        <is>
          <t>ISS-02</t>
        </is>
      </c>
      <c r="B3" s="10" t="inlineStr">
        <is>
          <t>REQ-P-001</t>
        </is>
      </c>
      <c r="C3" s="10" t="inlineStr">
        <is>
          <t>Numerical Threshold Discrepancy</t>
        </is>
      </c>
      <c r="D3" s="9" t="inlineStr">
        <is>
          <t>P02 specified an inner-loop control latency of under 250 microseconds (&lt; 250 us). In contrast, the official 10-Tier Validation Ladder in REA-T1-OVERVIEW-2026-V1.0 (Section 10, Tier 3 Exit Criteria) establishes 'Inner-loop latency under 1 millisecond (&lt; 1 ms)'.</t>
        </is>
      </c>
      <c r="E3" s="9" t="inlineStr">
        <is>
          <t>P02: &lt; 250 us control latency
REA-T1: &lt; 1 ms inner-loop latency (Tier 3)</t>
        </is>
      </c>
      <c r="F3" s="9" t="inlineStr">
        <is>
          <t>Specifying 250 us without validated benchmark logs risks premature verification failure on STM32 microcontrollers under heavy bus load.</t>
        </is>
      </c>
      <c r="G3" s="9" t="inlineStr">
        <is>
          <t>Baseline REQ-P-001 at &lt; 1 ms in alignment with REA-T1 Tier 3; retain &lt; 250 us as an aspirational engineering design stretch goal in the SSRD.</t>
        </is>
      </c>
    </row>
    <row r="4" ht="84" customHeight="1">
      <c r="A4" s="2" t="inlineStr">
        <is>
          <t>ISS-03</t>
        </is>
      </c>
      <c r="B4" s="4" t="inlineStr">
        <is>
          <t>REQ-P-004, REQ-D-005</t>
        </is>
      </c>
      <c r="C4" s="4" t="inlineStr">
        <is>
          <t>Environmental Boundary Discrepancy</t>
        </is>
      </c>
      <c r="D4" s="3" t="inlineStr">
        <is>
          <t>P02 specified an operational thermal envelope down to -30°C. REA-T1-OVERVIEW-2026-V1.0 specifies environmental stress testing down to -20°C in Milestone 2 and Tier 5 chamber testing.</t>
        </is>
      </c>
      <c r="E4" s="3" t="inlineStr">
        <is>
          <t>P02: Chamber down to -30°C
REA-T1: Sub-zero stress testing (-20°C) (Tier 5, M2)</t>
        </is>
      </c>
      <c r="F4" s="3" t="inlineStr">
        <is>
          <t>Exceeding chamber test boundaries increases qualification cost and battery heater sizing requirements.</t>
        </is>
      </c>
      <c r="G4" s="3" t="inlineStr">
        <is>
          <t>Clarify whether -20°C is the formal qualification threshold and -30°C is an extreme excursion limit for Siachen Glacier deployments.</t>
        </is>
      </c>
    </row>
    <row r="5" ht="120" customHeight="1">
      <c r="A5" s="8" t="inlineStr">
        <is>
          <t>ISS-04</t>
        </is>
      </c>
      <c r="B5" s="10" t="inlineStr">
        <is>
          <t>REQ-P-005</t>
        </is>
      </c>
      <c r="C5" s="10" t="inlineStr">
        <is>
          <t>Navigation Metric Definition Ambiguity</t>
        </is>
      </c>
      <c r="D5" s="9" t="inlineStr">
        <is>
          <t>P02 specified positional error of '&lt; 0.8m error per hour'. REA-T1-OVERVIEW-2026-V1.0 specifies 'Sub-meter drift bounds sustained' (&lt; 1.0 m drift). Neither document specifies the statistical confidence interval (e.g., 1-sigma, 2-sigma, or 95% CEP).</t>
        </is>
      </c>
      <c r="E5" s="9" t="inlineStr">
        <is>
          <t>P02: &lt; 0.8 m/hr error
REA-T1: Sub-meter drift bounds (Tier 8)</t>
        </is>
      </c>
      <c r="F5" s="9" t="inlineStr">
        <is>
          <t>Ambiguous statistical metrics prevent objective pass/fail determination during Tier 8 GNSS-denied flight corridor testing.</t>
        </is>
      </c>
      <c r="G5" s="9" t="inlineStr">
        <is>
          <t>Define exact statistical metric (e.g., 95% Circular Error Probable over 60 minutes) in Task 2 Acceptance Criteria.</t>
        </is>
      </c>
    </row>
    <row r="6" ht="84" customHeight="1">
      <c r="A6" s="2" t="inlineStr">
        <is>
          <t>ISS-05</t>
        </is>
      </c>
      <c r="B6" s="4" t="inlineStr">
        <is>
          <t>REQ-F-009, REQ-P-010</t>
        </is>
      </c>
      <c r="C6" s="4" t="inlineStr">
        <is>
          <t>RF Bandwidth Specification Discrepancy</t>
        </is>
      </c>
      <c r="D6" s="3" t="inlineStr">
        <is>
          <t>P02 specified SDR frequency coverage from 10 MHz to 6 GHz. REA-T1-OVERVIEW-2026-V1.0 (Section 7, Module 04) specifies 'Wideband SDR RF antenna inputs (400 MHz to 6 GHz)'.</t>
        </is>
      </c>
      <c r="E6" s="3" t="inlineStr">
        <is>
          <t>P02: 10 MHz to 6 GHz wideband scan
REA-T1: 400 MHz to 6 GHz antenna input</t>
        </is>
      </c>
      <c r="F6" s="3" t="inlineStr">
        <is>
          <t>Designing an airborne antenna and front-end matching network covering 10 MHz to 400 MHz requires significantly larger antenna elements, adding weight.</t>
        </is>
      </c>
      <c r="G6" s="3" t="inlineStr">
        <is>
          <t>Baseline REQ-P-010 at 400 MHz to 6 GHz per REA-T1 Module 04; evaluate HF/VHF (10–400 MHz) as an auxiliary payload option if required.</t>
        </is>
      </c>
    </row>
    <row r="7" ht="120" customHeight="1">
      <c r="A7" s="8" t="inlineStr">
        <is>
          <t>ISS-06</t>
        </is>
      </c>
      <c r="B7" s="10" t="inlineStr">
        <is>
          <t>REQ-P-007, REQ-F-006</t>
        </is>
      </c>
      <c r="C7" s="10" t="inlineStr">
        <is>
          <t>Processor Architecture &amp; Silicon Roadmap</t>
        </is>
      </c>
      <c r="D7" s="9" t="inlineStr">
        <is>
          <t>P02 mandated an Nvidia Jetson Orin Industrial SOM (275 TOPS, 64GB RAM). REA-T1-OVERVIEW-2026-V1.0 explicitly mandates technological sovereignty and evaluates progressive migration to Indian silicon (C-DAC VEGA and IIT Madras SHAKTI processors).</t>
        </is>
      </c>
      <c r="E7" s="9" t="inlineStr">
        <is>
          <t>P02: COTS Nvidia Jetson Orin Industrial SOM
REA-T1: Heterogeneous compute with C-DAC VEGA &amp; SHAKTI silicon roadmap</t>
        </is>
      </c>
      <c r="F7" s="9" t="inlineStr">
        <is>
          <t>Direct hardcoding of Nvidia-proprietary APIs (e.g., TensorRT, CUDA) could impede portability to open-source RISC-V sovereign silicon.</t>
        </is>
      </c>
      <c r="G7" s="9" t="inlineStr">
        <is>
          <t>Enforce containerized ONNX intermediate representation to decouple model training from specific underlying neural hardware accelerators.</t>
        </is>
      </c>
    </row>
    <row r="8" ht="102" customHeight="1">
      <c r="A8" s="2" t="inlineStr">
        <is>
          <t>ISS-07</t>
        </is>
      </c>
      <c r="B8" s="4" t="inlineStr">
        <is>
          <t>REQ-S-002, REQ-D-004</t>
        </is>
      </c>
      <c r="C8" s="4" t="inlineStr">
        <is>
          <t>Safety &amp; Airworthiness Framework Alignment</t>
        </is>
      </c>
      <c r="D8" s="3" t="inlineStr">
        <is>
          <t>P02 cited civil aerospace standards DO-178C and DO-254. REA-T1-OVERVIEW-2026-V1.0 defines compliance under the iDEX / DIO / MoD Evaluation Standard governed by a 10-Tier Validation Ladder.</t>
        </is>
      </c>
      <c r="E8" s="3" t="inlineStr">
        <is>
          <t>P02: Commercial DO-178C and DO-254 compliance
REA-T1: 10-Tier Validation Ladder &amp; iDEX / MoD Evaluation Standard</t>
        </is>
      </c>
      <c r="F8" s="3" t="inlineStr">
        <is>
          <t>Civil DO-178C certification involves substantial documentation overhead that may conflict with rapid agile defense prototyping pathways under iDEX.</t>
        </is>
      </c>
      <c r="G8" s="3" t="inlineStr">
        <is>
          <t>Adopt a hybrid safety approach: enforce DO-178C/DO-254 software/hardware engineering rigor while aligning formal milestones with iDEX gates.</t>
        </is>
      </c>
    </row>
    <row r="9" ht="102" customHeight="1">
      <c r="A9" s="8" t="inlineStr">
        <is>
          <t>ISS-08</t>
        </is>
      </c>
      <c r="B9" s="10" t="inlineStr">
        <is>
          <t>New Scope Gap (Module Layer A)</t>
        </is>
      </c>
      <c r="C9" s="10" t="inlineStr">
        <is>
          <t>Missing Sensor Requirement in Initial Baseline</t>
        </is>
      </c>
      <c r="D9" s="9" t="inlineStr">
        <is>
          <t>REA-T1-OVERVIEW-2026-V1.0 (Section 2.2, Section 3, Section 4, Section 7) explicitly documents 'airborne CBRN hazard-mapping sniffers / sensors'. This sensor capability was omitted in the P02 initial requirements list.</t>
        </is>
      </c>
      <c r="E9" s="9" t="inlineStr">
        <is>
          <t>P02: Omitted CBRN sensor entirely
REA-T1: Includes CBRN sensor in Layer A perception suite</t>
        </is>
      </c>
      <c r="F9" s="9" t="inlineStr">
        <is>
          <t>Omitting CBRN sensor interfaces from the initial requirements baseline risks unallocated payload weight, power, and serial bus bandwidth.</t>
        </is>
      </c>
      <c r="G9" s="9" t="inlineStr">
        <is>
          <t>Flag for Systems Engineering Review Board to formally draft REQ-F-014 (CBRN Detection) upon formal SRS freeze in Milestone 1.</t>
        </is>
      </c>
    </row>
    <row r="10" ht="102" customHeight="1">
      <c r="A10" s="2" t="inlineStr">
        <is>
          <t>ISS-09</t>
        </is>
      </c>
      <c r="B10" s="4" t="inlineStr">
        <is>
          <t>REQ-F-001, REQ-F-002, REQ-F-013</t>
        </is>
      </c>
      <c r="C10" s="4" t="inlineStr">
        <is>
          <t>Undefined Engineering Parameters</t>
        </is>
      </c>
      <c r="D10" s="3" t="inlineStr">
        <is>
          <t>Critical physical and operational parameters—including Maximum Takeoff Weight (MTOW), cargo pod payload mass (kg), camera optical FOV, GPR penetration depth, and FSO laser jitter—are omitted in REA-T1 overview.</t>
        </is>
      </c>
      <c r="E10" s="3" t="inlineStr">
        <is>
          <t>P02 / Scope Baseline: Marked as pending confirmation
REA-T1: Architectural overview omits classified physical mass limits</t>
        </is>
      </c>
      <c r="F10" s="3" t="inlineStr">
        <is>
          <t>Propulsion sizing, aerodynamic modeling, and battery endurance simulations cannot be completed without confirmed mass properties.</t>
        </is>
      </c>
      <c r="G10" s="3" t="inlineStr">
        <is>
          <t>Keep fields strictly marked as 'Pending Definition' per Task 1 rules; submit formal Request for Information (RFI) to Project Lead Sarvesh Sharma.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0" customWidth="1" min="3" max="3"/>
    <col width="24" customWidth="1" min="4" max="4"/>
    <col width="30" customWidth="1" min="5" max="5"/>
    <col width="56" customWidth="1" min="6" max="6"/>
    <col width="50" customWidth="1" min="7" max="7"/>
  </cols>
  <sheetData>
    <row r="1" ht="34" customHeight="1">
      <c r="A1" s="1" t="inlineStr">
        <is>
          <t>Source ID</t>
        </is>
      </c>
      <c r="B1" s="1" t="inlineStr">
        <is>
          <t>Document / Source Title</t>
        </is>
      </c>
      <c r="C1" s="1" t="inlineStr">
        <is>
          <t>Document ID / Designation</t>
        </is>
      </c>
      <c r="D1" s="1" t="inlineStr">
        <is>
          <t>Version / Date</t>
        </is>
      </c>
      <c r="E1" s="1" t="inlineStr">
        <is>
          <t>Relevant Sections &amp; Pages</t>
        </is>
      </c>
      <c r="F1" s="1" t="inlineStr">
        <is>
          <t>Information Used &amp; Engineering Scope</t>
        </is>
      </c>
      <c r="G1" s="1" t="inlineStr">
        <is>
          <t>Documented Limitations &amp; Scope Constraints</t>
        </is>
      </c>
    </row>
    <row r="2" ht="138" customHeight="1">
      <c r="A2" s="2" t="inlineStr">
        <is>
          <t>SRC-01</t>
        </is>
      </c>
      <c r="B2" s="3" t="inlineStr">
        <is>
          <t>RudraEdge RE-T1 (Spectra) Project Introduction &amp; Technical Overview</t>
        </is>
      </c>
      <c r="C2" s="2" t="inlineStr">
        <is>
          <t>REA-T1-OVERVIEW-2026-V1.0</t>
        </is>
      </c>
      <c r="D2" s="4" t="inlineStr">
        <is>
          <t>Version 1.0 (2026)</t>
        </is>
      </c>
      <c r="E2" s="3" t="inlineStr">
        <is>
          <t>Sections 1 through 11 (Pages 1–12)</t>
        </is>
      </c>
      <c r="F2" s="3" t="inlineStr">
        <is>
          <t>Primary authoritative engineering reference: PECLF 8-layer architecture, 20 frozen advanced capabilities, 10-Tier Validation Ladder, 18-month lifecycle, Swadeshi ROS 2 + custom PX4 autopilot, zero-cloud compute, VIO navigation, FSO optical comms, acoustic TDoA, micro-GPR, and hardware root of trust.</t>
        </is>
      </c>
      <c r="G2" s="3" t="inlineStr">
        <is>
          <t>Unclassified architectural overview. Specific airframe numerical Maximum Takeoff Weight (MTOW in kg), battery pack capacity (Wh), and cargo pod payload volume are omitted.</t>
        </is>
      </c>
    </row>
    <row r="3" ht="102" customHeight="1">
      <c r="A3" s="8" t="inlineStr">
        <is>
          <t>SRC-02</t>
        </is>
      </c>
      <c r="B3" s="9" t="inlineStr">
        <is>
          <t>Master iDEX Proposal: Autonomous Tactical UAV • Multi-Sensor Edge-AI</t>
        </is>
      </c>
      <c r="C3" s="8" t="inlineStr">
        <is>
          <t>RE-iDEX-PROPOSAL-2026-R1</t>
        </is>
      </c>
      <c r="D3" s="10" t="inlineStr">
        <is>
          <t>Proposal Release 1 (2026)</t>
        </is>
      </c>
      <c r="E3" s="9" t="inlineStr">
        <is>
          <t>Sections 1.4, 2.2, 9.1, 10.2</t>
        </is>
      </c>
      <c r="F3" s="9" t="inlineStr">
        <is>
          <t>Project governance baseline: iDEX / DIO / MoD Evaluation Standard, 5-Tier Make-in-India Indigenisation Framework, C-DAC VEGA &amp; IIT Madras SHAKTI silicon migration roadmap, and 18-month milestone funding breakdown.</t>
        </is>
      </c>
      <c r="G3" s="9" t="inlineStr">
        <is>
          <t>Commercial-in-Confidence proposal document. Full classified test range protocols and detailed military flight clearance envelopes are held in classified annexes.</t>
        </is>
      </c>
    </row>
    <row r="4" ht="102" customHeight="1">
      <c r="A4" s="2" t="inlineStr">
        <is>
          <t>SRC-03</t>
        </is>
      </c>
      <c r="B4" s="3" t="inlineStr">
        <is>
          <t>Project Scope Baseline: Tactical UAS Engineering Scope</t>
        </is>
      </c>
      <c r="C4" s="2" t="inlineStr">
        <is>
          <t>P01_Project_Scope_Baseline.md</t>
        </is>
      </c>
      <c r="D4" s="4" t="inlineStr">
        <is>
          <t>Version 0.2 (22 October 2026)</t>
        </is>
      </c>
      <c r="E4" s="3" t="inlineStr">
        <is>
          <t>Sections 1 through 15 (Complete Document)</t>
        </is>
      </c>
      <c r="F4" s="3" t="inlineStr">
        <is>
          <t>System boundary definition, subsystem decomposition, in-scope vs. out-of-scope boundaries, documented constraints (environmental, thermal, safety, architectural), assumptions register, and inter-module interface matrices.</t>
        </is>
      </c>
      <c r="G4" s="3" t="inlineStr">
        <is>
          <t>Initial engineering scope baseline drafted under preliminary task order; referenced legacy platform name AeroVanguard AV-X9; pending update to RudraEdge RE-T1 baseline.</t>
        </is>
      </c>
    </row>
    <row r="5" ht="84" customHeight="1">
      <c r="A5" s="8" t="inlineStr">
        <is>
          <t>SRC-04</t>
        </is>
      </c>
      <c r="B5" s="9" t="inlineStr">
        <is>
          <t>Initial Requirements Register Workbook</t>
        </is>
      </c>
      <c r="C5" s="8" t="inlineStr">
        <is>
          <t>P02_Initial_Requirements_Register.xlsx</t>
        </is>
      </c>
      <c r="D5" s="10" t="inlineStr">
        <is>
          <t>Release 1.0 (22 October 2026)</t>
        </is>
      </c>
      <c r="E5" s="9" t="inlineStr">
        <is>
          <t>Sheets: Requirements_Register, Category_Summary, Source_References</t>
        </is>
      </c>
      <c r="F5" s="9" t="inlineStr">
        <is>
          <t>Previous engineering deliverable capturing 37 draft requirements (15 Functional, 10 Performance, 6 Safety, 6 Documentation) with preliminary rationales, verification methods, and status.</t>
        </is>
      </c>
      <c r="G5" s="9" t="inlineStr">
        <is>
          <t>Draft reference IDs (DRAFT-F-xxx) lacked unique permanent identifiers, acceptance criteria were incomplete, and priority was unassigned. Reused and enhanced under Task 1.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2026-10-22T15:35:24Z</dcterms:created>
  <dcterms:modified xmlns:dcterms="http://purl.org/dc/terms/" xmlns:xsi="http://www.w3.org/2001/XMLSchema-instance" xsi:type="dcterms:W3CDTF">2026-10-22T15:35:24Z</dcterms:modified>
</cp:coreProperties>
</file>