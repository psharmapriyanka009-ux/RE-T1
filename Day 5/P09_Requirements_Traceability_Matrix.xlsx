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Traceability Matrix" sheetId="1" state="visible" r:id="rId1"/>
    <sheet xmlns:r="http://schemas.openxmlformats.org/officeDocument/2006/relationships" name="ID Traceability Matrix" sheetId="2" state="visible" r:id="rId2"/>
    <sheet xmlns:r="http://schemas.openxmlformats.org/officeDocument/2006/relationships" name="Coverage Summary" sheetId="3" state="visible" r:id="rId3"/>
    <sheet xmlns:r="http://schemas.openxmlformats.org/officeDocument/2006/relationships" name="Review Issues and Gaps" sheetId="4" state="visible" r:id="rId4"/>
  </sheets>
  <definedNames>
    <definedName name="_xlnm._FilterDatabase" localSheetId="0" hidden="1">'Requirements Traceability Matrix'!$A$4:$O$41</definedName>
    <definedName name="_xlnm._FilterDatabase" localSheetId="1" hidden="1">'ID Traceability Matrix'!$A$4:$L$41</definedName>
    <definedName name="_xlnm._FilterDatabase" localSheetId="3" hidden="1">'Review Issues and Gaps'!$A$4:$H$31</definedName>
  </definedNames>
  <calcPr calcId="124519" fullCalcOnLoad="1"/>
</workbook>
</file>

<file path=xl/styles.xml><?xml version="1.0" encoding="utf-8"?>
<styleSheet xmlns="http://schemas.openxmlformats.org/spreadsheetml/2006/main">
  <numFmts count="1">
    <numFmt numFmtId="164" formatCode="0.0%"/>
  </numFmts>
  <fonts count="16">
    <font>
      <name val="Calibri"/>
      <family val="2"/>
      <color theme="1"/>
      <sz val="11"/>
      <scheme val="minor"/>
    </font>
    <font>
      <name val="Calibri"/>
      <b val="1"/>
      <color rgb="00FFFFFF"/>
      <sz val="14"/>
    </font>
    <font>
      <name val="Calibri"/>
      <i val="1"/>
      <color rgb="00E2E8F0"/>
      <sz val="10"/>
    </font>
    <font>
      <name val="Calibri"/>
      <i val="1"/>
      <color rgb="00334155"/>
      <sz val="9"/>
    </font>
    <font>
      <name val="Calibri"/>
      <b val="1"/>
      <color rgb="00FFFFFF"/>
      <sz val="10"/>
    </font>
    <font>
      <name val="Calibri"/>
      <color rgb="00000000"/>
      <sz val="10"/>
    </font>
    <font>
      <name val="Calibri"/>
      <b val="1"/>
      <color rgb="001B365D"/>
      <sz val="10"/>
    </font>
    <font>
      <name val="Calibri"/>
      <b val="1"/>
      <color rgb="007F6000"/>
      <sz val="10"/>
    </font>
    <font>
      <name val="Calibri"/>
      <b val="1"/>
      <color rgb="00C65911"/>
      <sz val="10"/>
    </font>
    <font>
      <name val="Calibri"/>
      <b val="1"/>
      <color rgb="00375623"/>
      <sz val="10"/>
    </font>
    <font>
      <name val="Calibri"/>
      <b val="1"/>
      <color rgb="00595959"/>
      <sz val="10"/>
    </font>
    <font>
      <name val="Calibri"/>
      <b val="1"/>
      <color rgb="00385723"/>
      <sz val="10"/>
    </font>
    <font>
      <name val="Calibri"/>
      <b val="1"/>
      <color rgb="001B365D"/>
      <sz val="11"/>
    </font>
    <font>
      <name val="Calibri"/>
      <b val="1"/>
      <color rgb="00000000"/>
      <sz val="11"/>
    </font>
    <font>
      <name val="Calibri"/>
      <b val="1"/>
      <color rgb="00000000"/>
      <sz val="10"/>
    </font>
    <font>
      <name val="Calibri"/>
      <b val="1"/>
      <color rgb="00C00000"/>
      <sz val="10"/>
    </font>
  </fonts>
  <fills count="15">
    <fill>
      <patternFill/>
    </fill>
    <fill>
      <patternFill patternType="gray125"/>
    </fill>
    <fill>
      <patternFill patternType="solid">
        <fgColor rgb="001B365D"/>
        <bgColor rgb="001B365D"/>
      </patternFill>
    </fill>
    <fill>
      <patternFill patternType="solid">
        <fgColor rgb="00E2E8F0"/>
        <bgColor rgb="00E2E8F0"/>
      </patternFill>
    </fill>
    <fill>
      <patternFill patternType="solid">
        <fgColor rgb="002A4B7C"/>
        <bgColor rgb="002A4B7C"/>
      </patternFill>
    </fill>
    <fill>
      <patternFill patternType="solid">
        <fgColor rgb="00FFFFFF"/>
        <bgColor rgb="00FFFFFF"/>
      </patternFill>
    </fill>
    <fill>
      <patternFill patternType="solid">
        <fgColor rgb="00D9E1F2"/>
        <bgColor rgb="00D9E1F2"/>
      </patternFill>
    </fill>
    <fill>
      <patternFill patternType="solid">
        <fgColor rgb="00FFF2CC"/>
        <bgColor rgb="00FFF2CC"/>
      </patternFill>
    </fill>
    <fill>
      <patternFill patternType="solid">
        <fgColor rgb="00FCE4D6"/>
        <bgColor rgb="00FCE4D6"/>
      </patternFill>
    </fill>
    <fill>
      <patternFill patternType="solid">
        <fgColor rgb="00F8FAFC"/>
        <bgColor rgb="00F8FAFC"/>
      </patternFill>
    </fill>
    <fill>
      <patternFill patternType="solid">
        <fgColor rgb="00E2EFDA"/>
        <bgColor rgb="00E2EFDA"/>
      </patternFill>
    </fill>
    <fill>
      <patternFill patternType="solid">
        <fgColor rgb="00EDEDED"/>
        <bgColor rgb="00EDEDED"/>
      </patternFill>
    </fill>
    <fill>
      <patternFill patternType="solid">
        <fgColor rgb="00E2F0D9"/>
        <bgColor rgb="00E2F0D9"/>
      </patternFill>
    </fill>
    <fill>
      <patternFill patternType="solid">
        <fgColor rgb="00D9E1E8"/>
        <bgColor rgb="00D9E1E8"/>
      </patternFill>
    </fill>
    <fill>
      <patternFill patternType="solid">
        <fgColor rgb="00F8CECC"/>
        <bgColor rgb="00F8CECC"/>
      </patternFill>
    </fill>
  </fills>
  <borders count="3">
    <border>
      <left/>
      <right/>
      <top/>
      <bottom/>
      <diagonal/>
    </border>
    <border>
      <left style="thin">
        <color rgb="00CBD5E1"/>
      </left>
      <right style="thin">
        <color rgb="00CBD5E1"/>
      </right>
      <top style="medium">
        <color rgb="001B365D"/>
      </top>
      <bottom style="medium">
        <color rgb="001B365D"/>
      </bottom>
    </border>
    <border>
      <left style="thin">
        <color rgb="00D3D3D3"/>
      </left>
      <right style="thin">
        <color rgb="00D3D3D3"/>
      </right>
      <top style="thin">
        <color rgb="00D3D3D3"/>
      </top>
      <bottom style="thin">
        <color rgb="00D3D3D3"/>
      </bottom>
    </border>
  </borders>
  <cellStyleXfs count="1">
    <xf numFmtId="0" fontId="0" fillId="0" borderId="0"/>
  </cellStyleXfs>
  <cellXfs count="42">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6" fillId="5" borderId="2" applyAlignment="1" pivotButton="0" quotePrefix="0" xfId="0">
      <alignment horizontal="center" vertical="top" wrapText="1"/>
    </xf>
    <xf numFmtId="0" fontId="5" fillId="5" borderId="2" applyAlignment="1" pivotButton="0" quotePrefix="0" xfId="0">
      <alignment horizontal="left" vertical="top" wrapText="1"/>
    </xf>
    <xf numFmtId="0" fontId="6" fillId="6" borderId="2" applyAlignment="1" pivotButton="0" quotePrefix="0" xfId="0">
      <alignment horizontal="left" vertical="top" wrapText="1"/>
    </xf>
    <xf numFmtId="0" fontId="5" fillId="5" borderId="2" applyAlignment="1" pivotButton="0" quotePrefix="0" xfId="0">
      <alignment horizontal="center" vertical="top" wrapText="1"/>
    </xf>
    <xf numFmtId="0" fontId="7" fillId="7" borderId="2" applyAlignment="1" pivotButton="0" quotePrefix="0" xfId="0">
      <alignment horizontal="center" vertical="top" wrapText="1"/>
    </xf>
    <xf numFmtId="0" fontId="8" fillId="8" borderId="2" applyAlignment="1" pivotButton="0" quotePrefix="0" xfId="0">
      <alignment horizontal="center" vertical="top" wrapText="1"/>
    </xf>
    <xf numFmtId="0" fontId="6" fillId="9" borderId="2" applyAlignment="1" pivotButton="0" quotePrefix="0" xfId="0">
      <alignment horizontal="center" vertical="top" wrapText="1"/>
    </xf>
    <xf numFmtId="0" fontId="5" fillId="9" borderId="2" applyAlignment="1" pivotButton="0" quotePrefix="0" xfId="0">
      <alignment horizontal="left" vertical="top" wrapText="1"/>
    </xf>
    <xf numFmtId="0" fontId="5" fillId="9" borderId="2" applyAlignment="1" pivotButton="0" quotePrefix="0" xfId="0">
      <alignment horizontal="center" vertical="top" wrapText="1"/>
    </xf>
    <xf numFmtId="0" fontId="9" fillId="10" borderId="2" applyAlignment="1" pivotButton="0" quotePrefix="0" xfId="0">
      <alignment horizontal="left" vertical="top" wrapText="1"/>
    </xf>
    <xf numFmtId="0" fontId="7" fillId="7" borderId="2" applyAlignment="1" pivotButton="0" quotePrefix="0" xfId="0">
      <alignment horizontal="left" vertical="top" wrapText="1"/>
    </xf>
    <xf numFmtId="0" fontId="8" fillId="8" borderId="2" applyAlignment="1" pivotButton="0" quotePrefix="0" xfId="0">
      <alignment horizontal="left" vertical="top" wrapText="1"/>
    </xf>
    <xf numFmtId="0" fontId="10" fillId="11" borderId="2" applyAlignment="1" pivotButton="0" quotePrefix="0" xfId="0">
      <alignment horizontal="left" vertical="top" wrapText="1"/>
    </xf>
    <xf numFmtId="0" fontId="11" fillId="12" borderId="2" applyAlignment="1" pivotButton="0" quotePrefix="0" xfId="0">
      <alignment horizontal="center" vertical="top" wrapText="1"/>
    </xf>
    <xf numFmtId="0" fontId="6" fillId="6" borderId="2" applyAlignment="1" pivotButton="0" quotePrefix="0" xfId="0">
      <alignment horizontal="center" vertical="top" wrapText="1"/>
    </xf>
    <xf numFmtId="0" fontId="9" fillId="10" borderId="2" applyAlignment="1" pivotButton="0" quotePrefix="0" xfId="0">
      <alignment horizontal="center" vertical="top" wrapText="1"/>
    </xf>
    <xf numFmtId="0" fontId="10" fillId="11" borderId="2" applyAlignment="1" pivotButton="0" quotePrefix="0" xfId="0">
      <alignment horizontal="center" vertical="top" wrapText="1"/>
    </xf>
    <xf numFmtId="0" fontId="12" fillId="13" borderId="0" applyAlignment="1" pivotButton="0" quotePrefix="0" xfId="0">
      <alignment horizontal="left" vertical="center" wrapText="1"/>
    </xf>
    <xf numFmtId="0" fontId="6" fillId="0" borderId="2" applyAlignment="1" pivotButton="0" quotePrefix="0" xfId="0">
      <alignment horizontal="left" vertical="top" wrapText="1"/>
    </xf>
    <xf numFmtId="0" fontId="13" fillId="0" borderId="2" applyAlignment="1" pivotButton="0" quotePrefix="0" xfId="0">
      <alignment horizontal="center" vertical="top" wrapText="1"/>
    </xf>
    <xf numFmtId="164" fontId="13" fillId="0" borderId="2" applyAlignment="1" pivotButton="0" quotePrefix="0" xfId="0">
      <alignment horizontal="center" vertical="top" wrapText="1"/>
    </xf>
    <xf numFmtId="0" fontId="5" fillId="0" borderId="2" applyAlignment="1" pivotButton="0" quotePrefix="0" xfId="0">
      <alignment horizontal="left" vertical="top" wrapText="1"/>
    </xf>
    <xf numFmtId="0" fontId="14" fillId="0" borderId="2" applyAlignment="1" pivotButton="0" quotePrefix="0" xfId="0">
      <alignment horizontal="left" vertical="top" wrapText="1"/>
    </xf>
    <xf numFmtId="0" fontId="5" fillId="0" borderId="2" applyAlignment="1" pivotButton="0" quotePrefix="0" xfId="0">
      <alignment horizontal="center" vertical="top" wrapText="1"/>
    </xf>
    <xf numFmtId="164" fontId="7" fillId="7" borderId="2" applyAlignment="1" pivotButton="0" quotePrefix="0" xfId="0">
      <alignment horizontal="center" vertical="top" wrapText="1"/>
    </xf>
    <xf numFmtId="164" fontId="11" fillId="12" borderId="2" applyAlignment="1" pivotButton="0" quotePrefix="0" xfId="0">
      <alignment horizontal="center" vertical="top" wrapText="1"/>
    </xf>
    <xf numFmtId="0" fontId="6" fillId="3" borderId="2" pivotButton="0" quotePrefix="0" xfId="0"/>
    <xf numFmtId="0" fontId="14" fillId="3" borderId="2" applyAlignment="1" pivotButton="0" quotePrefix="0" xfId="0">
      <alignment horizontal="center" vertical="top" wrapText="1"/>
    </xf>
    <xf numFmtId="164" fontId="14" fillId="3" borderId="2" applyAlignment="1" pivotButton="0" quotePrefix="0" xfId="0">
      <alignment horizontal="center" vertical="top" wrapText="1"/>
    </xf>
    <xf numFmtId="0" fontId="0" fillId="0" borderId="2" pivotButton="0" quotePrefix="0" xfId="0"/>
    <xf numFmtId="0" fontId="6" fillId="0" borderId="2" applyAlignment="1" pivotButton="0" quotePrefix="0" xfId="0">
      <alignment horizontal="center" vertical="top" wrapText="1"/>
    </xf>
    <xf numFmtId="0" fontId="14" fillId="0" borderId="2" applyAlignment="1" pivotButton="0" quotePrefix="0" xfId="0">
      <alignment horizontal="center" vertical="top" wrapText="1"/>
    </xf>
    <xf numFmtId="0" fontId="14" fillId="5" borderId="2" applyAlignment="1" pivotButton="0" quotePrefix="0" xfId="0">
      <alignment horizontal="center" vertical="top" wrapText="1"/>
    </xf>
    <xf numFmtId="0" fontId="14" fillId="5" borderId="2" applyAlignment="1" pivotButton="0" quotePrefix="0" xfId="0">
      <alignment horizontal="left" vertical="top" wrapText="1"/>
    </xf>
    <xf numFmtId="0" fontId="14" fillId="9" borderId="2" applyAlignment="1" pivotButton="0" quotePrefix="0" xfId="0">
      <alignment horizontal="center" vertical="top" wrapText="1"/>
    </xf>
    <xf numFmtId="0" fontId="14" fillId="9" borderId="2" applyAlignment="1" pivotButton="0" quotePrefix="0" xfId="0">
      <alignment horizontal="left" vertical="top" wrapText="1"/>
    </xf>
    <xf numFmtId="0" fontId="15" fillId="14"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1"/>
  <sheetViews>
    <sheetView showGridLines="1" workbookViewId="0">
      <pane ySplit="4" topLeftCell="A5" activePane="bottomLeft" state="frozen"/>
      <selection pane="bottomLeft" activeCell="A1" sqref="A1"/>
    </sheetView>
  </sheetViews>
  <sheetFormatPr baseColWidth="8" defaultRowHeight="15"/>
  <cols>
    <col width="14" customWidth="1" min="1" max="1"/>
    <col width="42" customWidth="1" min="2" max="2"/>
    <col width="15" customWidth="1" min="3" max="3"/>
    <col width="25" customWidth="1" min="4" max="4"/>
    <col width="26" customWidth="1" min="5" max="5"/>
    <col width="38" customWidth="1" min="6" max="6"/>
    <col width="25" customWidth="1" min="7" max="7"/>
    <col width="18" customWidth="1" min="8" max="8"/>
    <col width="22" customWidth="1" min="9" max="9"/>
    <col width="26" customWidth="1" min="10" max="10"/>
    <col width="38" customWidth="1" min="11" max="11"/>
    <col width="18" customWidth="1" min="12" max="12"/>
    <col width="18" customWidth="1" min="13" max="13"/>
    <col width="25" customWidth="1" min="14" max="14"/>
    <col width="42" customWidth="1" min="15" max="15"/>
  </cols>
  <sheetData>
    <row r="1">
      <c r="A1" s="1" t="inlineStr">
        <is>
          <t>RUDRAEDGE RE-T1 (SPECTRA) — REQUIREMENTS TRACEABILITY MATRIX (RTM)</t>
        </is>
      </c>
    </row>
    <row r="2">
      <c r="A2" s="2" t="inlineStr">
        <is>
          <t>Deliverable: P09_Requirements_Traceability_Matrix.xlsx | Authority: REA-T1-OVERVIEW-2026-V1.0 | Project: RE-iDEX-PROPOSAL-2026-R1 | Classification: Commercial-in-Confidence</t>
        </is>
      </c>
    </row>
    <row r="3">
      <c r="A3" s="3" t="inlineStr">
        <is>
          <t>Role: System Requirements &amp; Configuration Engineer | Baseline Framework: 8-Layer PECLF Architecture &amp; 10-Tier Validation Ladder | Status: Baseline Traceability Register (M1 Lifecycle)</t>
        </is>
      </c>
    </row>
    <row r="4" ht="28" customHeight="1">
      <c r="A4" s="4" t="inlineStr">
        <is>
          <t>Requirement ID</t>
        </is>
      </c>
      <c r="B4" s="4" t="inlineStr">
        <is>
          <t>Requirement Description</t>
        </is>
      </c>
      <c r="C4" s="4" t="inlineStr">
        <is>
          <t>Requirement Category</t>
        </is>
      </c>
      <c r="D4" s="4" t="inlineStr">
        <is>
          <t>Requirement Source</t>
        </is>
      </c>
      <c r="E4" s="4" t="inlineStr">
        <is>
          <t>Source Document Section/Page</t>
        </is>
      </c>
      <c r="F4" s="4" t="inlineStr">
        <is>
          <t>Implementation Reference</t>
        </is>
      </c>
      <c r="G4" s="4" t="inlineStr">
        <is>
          <t>Related Interface ID</t>
        </is>
      </c>
      <c r="H4" s="4" t="inlineStr">
        <is>
          <t>Verification Method</t>
        </is>
      </c>
      <c r="I4" s="4" t="inlineStr">
        <is>
          <t>Acceptance Criteria Reference</t>
        </is>
      </c>
      <c r="J4" s="4" t="inlineStr">
        <is>
          <t>Test Case ID</t>
        </is>
      </c>
      <c r="K4" s="4" t="inlineStr">
        <is>
          <t>Verification Evidence / Reference</t>
        </is>
      </c>
      <c r="L4" s="4" t="inlineStr">
        <is>
          <t>Implementation Status</t>
        </is>
      </c>
      <c r="M4" s="4" t="inlineStr">
        <is>
          <t>Verification Status</t>
        </is>
      </c>
      <c r="N4" s="4" t="inlineStr">
        <is>
          <t>Traceability Status</t>
        </is>
      </c>
      <c r="O4" s="4" t="inlineStr">
        <is>
          <t>Open Issues / Remarks</t>
        </is>
      </c>
    </row>
    <row r="5" ht="45" customHeight="1">
      <c r="A5" s="5" t="inlineStr">
        <is>
          <t>REQ-F-001</t>
        </is>
      </c>
      <c r="B5" s="6" t="inlineStr">
        <is>
          <t>The system shall capture and hardware-synchronize daylight optical CMOS video and uncooled Long-Wave Infrared (LWIR) bolometer thermal video streams via high-speed MIPI-CSI camera interfaces routed directly to edge compute memory without host CPU overhead.</t>
        </is>
      </c>
      <c r="C5" s="7" t="inlineStr">
        <is>
          <t>Functional</t>
        </is>
      </c>
      <c r="D5" s="6" t="inlineStr">
        <is>
          <t>REA-T1-OVERVIEW-2026-V1.0</t>
        </is>
      </c>
      <c r="E5" s="6" t="inlineStr">
        <is>
          <t>Sec 7 (Mod 02), Sec 8.2 (p. 8-9)</t>
        </is>
      </c>
      <c r="F5" s="6" t="inlineStr">
        <is>
          <t>MOD-02: Stabilized Multi-Spectral Perception (EO-IR-GIMBAL) | Layer A: Physical Perception (MIPI-CSI Gen3 camera interface &amp; DMA pipeline)</t>
        </is>
      </c>
      <c r="G5" s="6" t="inlineStr">
        <is>
          <t>IF-001, IF-002, IF-015, IF-016</t>
        </is>
      </c>
      <c r="H5" s="8" t="inlineStr">
        <is>
          <t>Demonstration</t>
        </is>
      </c>
      <c r="I5" s="6" t="inlineStr">
        <is>
          <t>AC-1.1, AC-1.2, AC-1.3</t>
        </is>
      </c>
      <c r="J5" s="6" t="inlineStr">
        <is>
          <t>TBD (Test Case Not Yet Assigned / Pending Allocation)</t>
        </is>
      </c>
      <c r="K5" s="6" t="inlineStr">
        <is>
          <t>Planned: Logic analyzer strobe timing capture plots, DMA memory buffer transfer logs, and 30-minute dual-stream raw video recordings.; Execution Evidence: Not Available / Pending Test Execution (Milestone M1-M5)</t>
        </is>
      </c>
      <c r="L5" s="9" t="inlineStr">
        <is>
          <t>Pending</t>
        </is>
      </c>
      <c r="M5" s="10" t="inlineStr">
        <is>
          <t>Not Verified</t>
        </is>
      </c>
      <c r="N5" s="9" t="inlineStr">
        <is>
          <t>Partial (Pending Test Case &amp; Evidence)</t>
        </is>
      </c>
      <c r="O5" s="6" t="inlineStr">
        <is>
          <t>P05 ISSUE-001: Optical sensor resolution (1080p vs 4K), lens FOV, and zoom ratios undefined; P07 GAP-IF-001: MIPI-CSI lane routing spec required.</t>
        </is>
      </c>
    </row>
    <row r="6" ht="45" customHeight="1">
      <c r="A6" s="11" t="inlineStr">
        <is>
          <t>REQ-F-002</t>
        </is>
      </c>
      <c r="B6" s="12" t="inlineStr">
        <is>
          <t>The system shall capture and stream 16-bit IQ complex radar samples from an onboard micro-Ground Penetrating Radar (GPR) antenna over high-speed SPI / USB 3.0 interfaces into prioritized DSP memory ring buffers to detect subsurface anomalies.</t>
        </is>
      </c>
      <c r="C6" s="7" t="inlineStr">
        <is>
          <t>Functional</t>
        </is>
      </c>
      <c r="D6" s="12" t="inlineStr">
        <is>
          <t>REA-T1-OVERVIEW-2026-V1.0</t>
        </is>
      </c>
      <c r="E6" s="12" t="inlineStr">
        <is>
          <t>Sec 3, Sec 7 (Mod 04), Sec 8.2 (p. 4, 8, 9)</t>
        </is>
      </c>
      <c r="F6" s="12" t="inlineStr">
        <is>
          <t>MOD-11: Subsurface Radar &amp; CBRN Sensing Ingress (GPR-CBRN-INGRESS) / MOD-13 | Layer A: Physical Perception (High-Speed SPI / USB 3.0 IQ buffer to DSP)</t>
        </is>
      </c>
      <c r="G6" s="12" t="inlineStr">
        <is>
          <t>IF-014, IF-016</t>
        </is>
      </c>
      <c r="H6" s="13" t="inlineStr">
        <is>
          <t>Test</t>
        </is>
      </c>
      <c r="I6" s="12" t="inlineStr">
        <is>
          <t>AC-2.1, AC-2.2, AC-2.3</t>
        </is>
      </c>
      <c r="J6" s="12" t="inlineStr">
        <is>
          <t>TBD (Test Case Not Yet Assigned / Pending Allocation)</t>
        </is>
      </c>
      <c r="K6" s="12" t="inlineStr">
        <is>
          <t>Planned: DSP FIFO ring buffer utilization logs, serial communication packet audit trace, and raw binary IQ sample capture dump.; Execution Evidence: Not Available / Pending Test Execution (Milestone M1-M5)</t>
        </is>
      </c>
      <c r="L6" s="9" t="inlineStr">
        <is>
          <t>Pending</t>
        </is>
      </c>
      <c r="M6" s="10" t="inlineStr">
        <is>
          <t>Not Verified</t>
        </is>
      </c>
      <c r="N6" s="9" t="inlineStr">
        <is>
          <t>Partial (Pending Test Case &amp; Evidence)</t>
        </is>
      </c>
      <c r="O6" s="12" t="inlineStr">
        <is>
          <t>P05 ISSUE-002: Micro-GPR RF center frequency, bandwidth, and ice penetration depth undefined; P07 GAP-IF-002: High-speed SPI ring buffer latency.</t>
        </is>
      </c>
    </row>
    <row r="7" ht="45" customHeight="1">
      <c r="A7" s="5" t="inlineStr">
        <is>
          <t>REQ-F-003</t>
        </is>
      </c>
      <c r="B7" s="6" t="inlineStr">
        <is>
          <t>The system shall ingest acoustic air pressure signals from a synchronized 4-channel microphone array and execute Time-Difference-of-Arrival (TDoA) algorithms to calculate directional bearing estimates to acoustic impulse noises.</t>
        </is>
      </c>
      <c r="C7" s="7" t="inlineStr">
        <is>
          <t>Functional</t>
        </is>
      </c>
      <c r="D7" s="6" t="inlineStr">
        <is>
          <t>REA-T1-OVERVIEW-2026-V1.0</t>
        </is>
      </c>
      <c r="E7" s="6" t="inlineStr">
        <is>
          <t>Sec 4, Sec 7 (Mod 04), Sec 8.2 (p. 5, 8, 9)</t>
        </is>
      </c>
      <c r="F7" s="6" t="inlineStr">
        <is>
          <t>MOD-04: Electromagnetic Sensing &amp; Acoustic Tracking (EW-DSP) / MOD-14 | Layer D &amp; Layer A (4-channel microphone PDM ingress &amp; TDoA DSP engine)</t>
        </is>
      </c>
      <c r="G7" s="6" t="inlineStr">
        <is>
          <t>IF-012, IF-013</t>
        </is>
      </c>
      <c r="H7" s="8" t="inlineStr">
        <is>
          <t>Demonstration</t>
        </is>
      </c>
      <c r="I7" s="6" t="inlineStr">
        <is>
          <t>AC-3.1, AC-3.2, AC-3.3, AC-3.4</t>
        </is>
      </c>
      <c r="J7" s="6" t="inlineStr">
        <is>
          <t>TBD (Test Case Not Yet Assigned / Pending Allocation)</t>
        </is>
      </c>
      <c r="K7" s="6" t="inlineStr">
        <is>
          <t>Planned: Time-Difference-of-Arrival cross-correlation logs, acoustic bearing output telemetry, and acoustic chamber test certificates.; Execution Evidence: Not Available / Pending Test Execution (Milestone M1-M5)</t>
        </is>
      </c>
      <c r="L7" s="9" t="inlineStr">
        <is>
          <t>Pending</t>
        </is>
      </c>
      <c r="M7" s="10" t="inlineStr">
        <is>
          <t>Not Verified</t>
        </is>
      </c>
      <c r="N7" s="9" t="inlineStr">
        <is>
          <t>Partial (Pending Test Case &amp; Evidence)</t>
        </is>
      </c>
      <c r="O7" s="6" t="inlineStr">
        <is>
          <t>P05 ISSUE-003: 4-channel acoustic sampling rate (kHz) and wind shear noise suppression thresholds undefined.</t>
        </is>
      </c>
    </row>
    <row r="8" ht="45" customHeight="1">
      <c r="A8" s="11" t="inlineStr">
        <is>
          <t>REQ-F-004</t>
        </is>
      </c>
      <c r="B8" s="12" t="inlineStr">
        <is>
          <t>The system shall maintain real-time 6-DOF vehicle pose and velocity estimation in GNSS-denied environments by fusing visual feature streams from tracking lenses, tactical-grade IMU angular rates, LiDAR range data, and onboard Digital Elevation Models (DEM) via extended Kalman filtering.</t>
        </is>
      </c>
      <c r="C8" s="7" t="inlineStr">
        <is>
          <t>Functional</t>
        </is>
      </c>
      <c r="D8" s="12" t="inlineStr">
        <is>
          <t>REA-T1-OVERVIEW-2026-V1.0</t>
        </is>
      </c>
      <c r="E8" s="12" t="inlineStr">
        <is>
          <t>Sec 2.2, Sec 7 (Mod 01), Sec 8.2 (p. 3, 8, 9)</t>
        </is>
      </c>
      <c r="F8" s="12" t="inlineStr">
        <is>
          <t>MOD-01: GNSS-Denied Localization &amp; Navigation (VIO-NAV) | Layer B: Navigation &amp; Autonomy (Multi-sensor EKF, DEM terrain matching, Swadeshi ROS 2 VIO node)</t>
        </is>
      </c>
      <c r="G8" s="12" t="inlineStr">
        <is>
          <t>IF-002, IF-003, IF-004, IF-005</t>
        </is>
      </c>
      <c r="H8" s="13" t="inlineStr">
        <is>
          <t>Test</t>
        </is>
      </c>
      <c r="I8" s="12" t="inlineStr">
        <is>
          <t>AC-4.1, AC-4.2, AC-4.3, AC-4.4</t>
        </is>
      </c>
      <c r="J8" s="12" t="inlineStr">
        <is>
          <t>TBD (Test Case Not Yet Assigned / Pending Allocation)</t>
        </is>
      </c>
      <c r="K8" s="12" t="inlineStr">
        <is>
          <t>Planned: VIO state estimation ROS 2 topic telemetry bagfiles, Gazebo ground-truth pose log files, and 3D positional drift deviation error plots.; Execution Evidence: Not Available / Pending Test Execution (Milestone M1-M5)</t>
        </is>
      </c>
      <c r="L8" s="9" t="inlineStr">
        <is>
          <t>Pending</t>
        </is>
      </c>
      <c r="M8" s="10" t="inlineStr">
        <is>
          <t>Not Verified</t>
        </is>
      </c>
      <c r="N8" s="9" t="inlineStr">
        <is>
          <t>Partial (Pending Test Case &amp; Evidence)</t>
        </is>
      </c>
      <c r="O8" s="12" t="inlineStr">
        <is>
          <t>P05 FIND-DUP-003: Overlap with REQ-P-005; P07 GAP-IF-003: DEM grid resolution and VIO tracking dropout thresholds pending validation.</t>
        </is>
      </c>
    </row>
    <row r="9" ht="45" customHeight="1">
      <c r="A9" s="5" t="inlineStr">
        <is>
          <t>REQ-F-005</t>
        </is>
      </c>
      <c r="B9" s="6" t="inlineStr">
        <is>
          <t>The system shall execute real-time attitude PID control loops, autonomous waypoint navigation, and trajectory execution using Swadeshi ROS 2 middleware integrated with custom PX4 autopilot flight firmware running on dedicated 32-bit automotive/aerospace microcontrollers.</t>
        </is>
      </c>
      <c r="C9" s="7" t="inlineStr">
        <is>
          <t>Functional</t>
        </is>
      </c>
      <c r="D9" s="6" t="inlineStr">
        <is>
          <t>REA-T1-OVERVIEW-2026-V1.0</t>
        </is>
      </c>
      <c r="E9" s="6" t="inlineStr">
        <is>
          <t>Sec 3, Sec 6, Sec 7 (Mod 01) (p. 3, 7, 8)</t>
        </is>
      </c>
      <c r="F9" s="6" t="inlineStr">
        <is>
          <t>MOD-07: Autopilot Flight Control Stack (PX4-AUTOPILOT) &amp; MOD-08 | Layer B: Navigation &amp; Autonomy (STM32H7 bare-metal MCU, attitude PID loops, micro-XRCE-DDS)</t>
        </is>
      </c>
      <c r="G9" s="6" t="inlineStr">
        <is>
          <t>IF-005, IF-006, IF-008, IF-009, IF-010</t>
        </is>
      </c>
      <c r="H9" s="8" t="inlineStr">
        <is>
          <t>Demonstration</t>
        </is>
      </c>
      <c r="I9" s="6" t="inlineStr">
        <is>
          <t>AC-5.1, AC-5.2, AC-5.3, AC-5.4</t>
        </is>
      </c>
      <c r="J9" s="6" t="inlineStr">
        <is>
          <t>TBD (Test Case Not Yet Assigned / Pending Allocation)</t>
        </is>
      </c>
      <c r="K9" s="6" t="inlineStr">
        <is>
          <t>Planned: MAVLink flight control log files (.ulg format), ROS 2 action server logs, and Gazebo trajectory tracking telemetry.; Execution Evidence: Not Available / Pending Test Execution (Milestone M1-M5)</t>
        </is>
      </c>
      <c r="L9" s="9" t="inlineStr">
        <is>
          <t>Pending</t>
        </is>
      </c>
      <c r="M9" s="10" t="inlineStr">
        <is>
          <t>Not Verified</t>
        </is>
      </c>
      <c r="N9" s="9" t="inlineStr">
        <is>
          <t>Partial (Pending Test Case &amp; Evidence)</t>
        </is>
      </c>
      <c r="O9" s="6" t="inlineStr">
        <is>
          <t>P05 ISSUE-009: Inner-loop latency target discrepancy (&lt; 1 ms vs &lt; 2 ms); P07 GAP-IF-005: Micro-XRCE-DDS transport bridge timing.</t>
        </is>
      </c>
    </row>
    <row r="10" ht="45" customHeight="1">
      <c r="A10" s="11" t="inlineStr">
        <is>
          <t>REQ-F-006</t>
        </is>
      </c>
      <c r="B10" s="12" t="inlineStr">
        <is>
          <t>The system shall execute optimized neural network models directly onboard the heterogeneous edge compute matrix to detect tactical targets and generate bounding boxes from synchronized video streams without ground-cloud reliance.</t>
        </is>
      </c>
      <c r="C10" s="7" t="inlineStr">
        <is>
          <t>Functional</t>
        </is>
      </c>
      <c r="D10" s="12" t="inlineStr">
        <is>
          <t>REA-T1-OVERVIEW-2026-V1.0</t>
        </is>
      </c>
      <c r="E10" s="12" t="inlineStr">
        <is>
          <t>Sec 4, Sec 7 (Mod 03), Sec 8.2 (p. 5, 8, 9)</t>
        </is>
      </c>
      <c r="F10" s="12" t="inlineStr">
        <is>
          <t>MOD-03: Heterogeneous Edge Intelligence Engine (EDGE-AI) | Layer F: Mission Intelligence &amp; AI (NVIDIA GPU/NPU accelerator matrix, PyTorch/TensorRT INT8 object detector)</t>
        </is>
      </c>
      <c r="G10" s="12" t="inlineStr">
        <is>
          <t>IF-017</t>
        </is>
      </c>
      <c r="H10" s="13" t="inlineStr">
        <is>
          <t>Demonstration</t>
        </is>
      </c>
      <c r="I10" s="12" t="inlineStr">
        <is>
          <t>AC-6.1, AC-6.2, AC-6.3</t>
        </is>
      </c>
      <c r="J10" s="12" t="inlineStr">
        <is>
          <t>TBD (Test Case Not Yet Assigned / Pending Allocation)</t>
        </is>
      </c>
      <c r="K10" s="12" t="inlineStr">
        <is>
          <t>Planned: Inference output JSON metadata streams, annotated bounding box video recordings, and edge compute CPU/GPU loading telemetry.; Execution Evidence: Not Available / Pending Test Execution (Milestone M1-M5)</t>
        </is>
      </c>
      <c r="L10" s="9" t="inlineStr">
        <is>
          <t>Pending</t>
        </is>
      </c>
      <c r="M10" s="10" t="inlineStr">
        <is>
          <t>Not Verified</t>
        </is>
      </c>
      <c r="N10" s="9" t="inlineStr">
        <is>
          <t>Partial (Pending Test Case &amp; Evidence)</t>
        </is>
      </c>
      <c r="O10" s="12" t="inlineStr">
        <is>
          <t>P05 ISSUE-004: Tactical target classification taxonomy and minimum acceptable mAP@0.50 undefined; P06 OQ-004.</t>
        </is>
      </c>
    </row>
    <row r="11" ht="45" customHeight="1">
      <c r="A11" s="5" t="inlineStr">
        <is>
          <t>REQ-F-007</t>
        </is>
      </c>
      <c r="B11" s="6" t="inlineStr">
        <is>
          <t>The system shall execute vision transformer and convolutional neural architectures on onboard edge acceleration hardware to generate real-time pixel-level semantic segmentation masks of ground terrain, obstacles, and camouflaged assets.</t>
        </is>
      </c>
      <c r="C11" s="7" t="inlineStr">
        <is>
          <t>Functional</t>
        </is>
      </c>
      <c r="D11" s="6" t="inlineStr">
        <is>
          <t>REA-T1-OVERVIEW-2026-V1.0</t>
        </is>
      </c>
      <c r="E11" s="6" t="inlineStr">
        <is>
          <t>Sec 2.2, Sec 4, Sec 7 (Mod 03) (p. 3, 5, 8)</t>
        </is>
      </c>
      <c r="F11" s="6" t="inlineStr">
        <is>
          <t>MOD-03: Heterogeneous Edge Intelligence Engine (EDGE-AI) | Layer F: Mission Intelligence &amp; AI (Vision Transformer &amp; CNN semantic segmentation, POSIX shared memory)</t>
        </is>
      </c>
      <c r="G11" s="6" t="inlineStr">
        <is>
          <t>IF-017</t>
        </is>
      </c>
      <c r="H11" s="8" t="inlineStr">
        <is>
          <t>Demonstration</t>
        </is>
      </c>
      <c r="I11" s="6" t="inlineStr">
        <is>
          <t>AC-7.1, AC-7.2, AC-7.3</t>
        </is>
      </c>
      <c r="J11" s="6" t="inlineStr">
        <is>
          <t>TBD (Test Case Not Yet Assigned / Pending Allocation)</t>
        </is>
      </c>
      <c r="K11" s="6" t="inlineStr">
        <is>
          <t>Planned: Color-coded semantic segmentation mask output images, shared memory transfer latency logs, and GPU utilization metrics.; Execution Evidence: Not Available / Pending Test Execution (Milestone M1-M5)</t>
        </is>
      </c>
      <c r="L11" s="9" t="inlineStr">
        <is>
          <t>Pending</t>
        </is>
      </c>
      <c r="M11" s="10" t="inlineStr">
        <is>
          <t>Not Verified</t>
        </is>
      </c>
      <c r="N11" s="9" t="inlineStr">
        <is>
          <t>Partial (Pending Test Case &amp; Evidence)</t>
        </is>
      </c>
      <c r="O11" s="6" t="inlineStr">
        <is>
          <t>P05 ISSUE-005: Semantic terrain classes (rock, snow, structure) and target mIoU percentage undefined; P06 OQ-005.</t>
        </is>
      </c>
    </row>
    <row r="12" ht="45" customHeight="1">
      <c r="A12" s="11" t="inlineStr">
        <is>
          <t>REQ-F-008</t>
        </is>
      </c>
      <c r="B12" s="12" t="inlineStr">
        <is>
          <t>The system shall perform comparative neural inference between live video streams and onboard historical terrain embeddings to automatically detect and flag ground modifications, fortifications, or vehicle tracks.</t>
        </is>
      </c>
      <c r="C12" s="7" t="inlineStr">
        <is>
          <t>Functional</t>
        </is>
      </c>
      <c r="D12" s="12" t="inlineStr">
        <is>
          <t>REA-T1-OVERVIEW-2026-V1.0</t>
        </is>
      </c>
      <c r="E12" s="12" t="inlineStr">
        <is>
          <t>Sec 2.2, Sec 7 (Mod 03), Sec 8.2 (p. 3, 8, 9)</t>
        </is>
      </c>
      <c r="F12" s="12" t="inlineStr">
        <is>
          <t>MOD-03: Heterogeneous Edge Intelligence Engine (EDGE-AI) | Layer F: Mission Intelligence &amp; AI (Temporal change detection CNN, encrypted local historical embeddings)</t>
        </is>
      </c>
      <c r="G12" s="12" t="inlineStr">
        <is>
          <t>IF-017</t>
        </is>
      </c>
      <c r="H12" s="13" t="inlineStr">
        <is>
          <t>Demonstration</t>
        </is>
      </c>
      <c r="I12" s="12" t="inlineStr">
        <is>
          <t>AC-8.1, AC-8.2, AC-8.3, AC-8.4</t>
        </is>
      </c>
      <c r="J12" s="12" t="inlineStr">
        <is>
          <t>TBD (Test Case Not Yet Assigned / Pending Allocation)</t>
        </is>
      </c>
      <c r="K12" s="12" t="inlineStr">
        <is>
          <t>Planned: Temporal difference heatmaps, change detection alert event log files, and visual comparison confirmation dossiers.; Execution Evidence: Not Available / Pending Test Execution (Milestone M1-M5)</t>
        </is>
      </c>
      <c r="L12" s="9" t="inlineStr">
        <is>
          <t>Pending</t>
        </is>
      </c>
      <c r="M12" s="10" t="inlineStr">
        <is>
          <t>Not Verified</t>
        </is>
      </c>
      <c r="N12" s="9" t="inlineStr">
        <is>
          <t>Partial (Pending Test Case &amp; Evidence)</t>
        </is>
      </c>
      <c r="O12" s="12" t="inlineStr">
        <is>
          <t>P05 ISSUE-006: Historical embedding storage format and minimum detectable physical ground disturbance dimensions undefined.</t>
        </is>
      </c>
    </row>
    <row r="13" ht="45" customHeight="1">
      <c r="A13" s="5" t="inlineStr">
        <is>
          <t>REQ-F-009</t>
        </is>
      </c>
      <c r="B13" s="6" t="inlineStr">
        <is>
          <t>The system shall ingest wideband radio frequency spectrum signals using Software-Defined Radio (SDR) to generate RF spectrum occupancy grids, characterize hostile radar signatures, and detect electronic emissions.</t>
        </is>
      </c>
      <c r="C13" s="7" t="inlineStr">
        <is>
          <t>Functional</t>
        </is>
      </c>
      <c r="D13" s="6" t="inlineStr">
        <is>
          <t>REA-T1-OVERVIEW-2026-V1.0</t>
        </is>
      </c>
      <c r="E13" s="6" t="inlineStr">
        <is>
          <t>Sec 4, Sec 7 (Mod 04), Sec 8.2 (p. 5, 8, 9)</t>
        </is>
      </c>
      <c r="F13" s="6" t="inlineStr">
        <is>
          <t>MOD-04: Electromagnetic Sensing &amp; Acoustic Tracking (EW-DSP) &amp; MOD-10 | Layer D: Electromagnetic Awareness (Wideband SDR front-end (400 MHz - 6 GHz), real-time FFT spectrum grid)</t>
        </is>
      </c>
      <c r="G13" s="6" t="inlineStr">
        <is>
          <t>IF-011, IF-013</t>
        </is>
      </c>
      <c r="H13" s="8" t="inlineStr">
        <is>
          <t>Demonstration</t>
        </is>
      </c>
      <c r="I13" s="6" t="inlineStr">
        <is>
          <t>AC-9.1, AC-9.2, AC-9.3, AC-9.4</t>
        </is>
      </c>
      <c r="J13" s="6" t="inlineStr">
        <is>
          <t>TBD (Test Case Not Yet Assigned / Pending Allocation)</t>
        </is>
      </c>
      <c r="K13" s="6" t="inlineStr">
        <is>
          <t>Planned: FFT spectrum occupancy waterfall plots, detected emitter parameter logs, and VITA 49 radio transport packet capture traces.; Execution Evidence: Not Available / Pending Test Execution (Milestone M1-M5)</t>
        </is>
      </c>
      <c r="L13" s="9" t="inlineStr">
        <is>
          <t>Pending</t>
        </is>
      </c>
      <c r="M13" s="10" t="inlineStr">
        <is>
          <t>Not Verified</t>
        </is>
      </c>
      <c r="N13" s="9" t="inlineStr">
        <is>
          <t>Partial (Pending Test Case &amp; Evidence)</t>
        </is>
      </c>
      <c r="O13" s="6" t="inlineStr">
        <is>
          <t>P05 ISSUE-017 / FIND-DUP-002: SDR frequency range discrepancy (400 MHz-6 GHz vs 70 MHz-6 GHz); P07 GAP-IF-004.</t>
        </is>
      </c>
    </row>
    <row r="14" ht="45" customHeight="1">
      <c r="A14" s="11" t="inlineStr">
        <is>
          <t>REQ-F-010</t>
        </is>
      </c>
      <c r="B14" s="12" t="inlineStr">
        <is>
          <t>The system shall modulate and transmit tactical mission intelligence, target coordinates, and compressed mission video to friendly optical ground terminals over a directional Free-Space Optical (FSO) laser communications link.</t>
        </is>
      </c>
      <c r="C14" s="7" t="inlineStr">
        <is>
          <t>Functional</t>
        </is>
      </c>
      <c r="D14" s="12" t="inlineStr">
        <is>
          <t>REA-T1-OVERVIEW-2026-V1.0</t>
        </is>
      </c>
      <c r="E14" s="12" t="inlineStr">
        <is>
          <t>Sec 2.2, Sec 7 (Mod 05), Sec 8.2 (p. 3, 8, 9)</t>
        </is>
      </c>
      <c r="F14" s="12" t="inlineStr">
        <is>
          <t>MOD-05: Secure Free-Space Optical Transceiver (FSO-COMM) | Layer E: Secure Communications (1550 nm directional laser transmitter, serializer/framer firmware)</t>
        </is>
      </c>
      <c r="G14" s="12" t="inlineStr">
        <is>
          <t>IF-018, IF-019, IF-021</t>
        </is>
      </c>
      <c r="H14" s="13" t="inlineStr">
        <is>
          <t>Demonstration</t>
        </is>
      </c>
      <c r="I14" s="12" t="inlineStr">
        <is>
          <t>AC-10.1, AC-10.2, AC-10.3, AC-10.4</t>
        </is>
      </c>
      <c r="J14" s="12" t="inlineStr">
        <is>
          <t>TBD (Test Case Not Yet Assigned / Pending Allocation)</t>
        </is>
      </c>
      <c r="K14" s="12" t="inlineStr">
        <is>
          <t>Planned: Optical power meter logs, bit error rate (BER) test readouts, received video playback recordings, and RF spectrum analyzer silence plots.; Execution Evidence: Not Available / Pending Test Execution (Milestone M1-M5)</t>
        </is>
      </c>
      <c r="L14" s="9" t="inlineStr">
        <is>
          <t>Pending</t>
        </is>
      </c>
      <c r="M14" s="10" t="inlineStr">
        <is>
          <t>Not Verified</t>
        </is>
      </c>
      <c r="N14" s="9" t="inlineStr">
        <is>
          <t>Partial (Pending Test Case &amp; Evidence)</t>
        </is>
      </c>
      <c r="O14" s="12" t="inlineStr">
        <is>
          <t>P05 FIND-DUP-001: Functional overlap with REQ-P-006; P07 GAP-IF-006: Atmospheric scintillation RF failover trigger threshold.</t>
        </is>
      </c>
    </row>
    <row r="15" ht="45" customHeight="1">
      <c r="A15" s="5" t="inlineStr">
        <is>
          <t>REQ-F-011</t>
        </is>
      </c>
      <c r="B15" s="6" t="inlineStr">
        <is>
          <t>The system shall maintain closed-loop coarse-fine laser pointing, acquisition, and tracking (PAT) using fast steering mechanisms driven by high-rate gyro coordinate offsets over serial interfaces to compensate for airframe vibration and wind shear.</t>
        </is>
      </c>
      <c r="C15" s="7" t="inlineStr">
        <is>
          <t>Functional</t>
        </is>
      </c>
      <c r="D15" s="6" t="inlineStr">
        <is>
          <t>REA-T1-OVERVIEW-2026-V1.0</t>
        </is>
      </c>
      <c r="E15" s="6" t="inlineStr">
        <is>
          <t>Sec 4, Sec 7 (Mod 05), Sec 8.2 (p. 5, 8, 9)</t>
        </is>
      </c>
      <c r="F15" s="6" t="inlineStr">
        <is>
          <t>MOD-09: FSO Pointing, Acquisition &amp; Tracking Controller (FSO-PAT) | Layer E: Secure Communications (GNC) (High-rate coarse-fine gimbal &amp; Fast Steering Mirror (FSM), 200 Hz gyro stabilization)</t>
        </is>
      </c>
      <c r="G15" s="6" t="inlineStr">
        <is>
          <t>IF-007, IF-019, IF-020</t>
        </is>
      </c>
      <c r="H15" s="8" t="inlineStr">
        <is>
          <t>Test</t>
        </is>
      </c>
      <c r="I15" s="6" t="inlineStr">
        <is>
          <t>AC-11.1, AC-11.2, AC-11.3, AC-11.4</t>
        </is>
      </c>
      <c r="J15" s="6" t="inlineStr">
        <is>
          <t>TBD (Test Case Not Yet Assigned / Pending Allocation)</t>
        </is>
      </c>
      <c r="K15" s="6" t="inlineStr">
        <is>
          <t>Planned: PSD beam displacement tracking logs, RS-422 gyro offset command traces, and motion table dynamic profile logs.; Execution Evidence: Not Available / Pending Test Execution (Milestone M1-M5)</t>
        </is>
      </c>
      <c r="L15" s="9" t="inlineStr">
        <is>
          <t>Pending</t>
        </is>
      </c>
      <c r="M15" s="10" t="inlineStr">
        <is>
          <t>Not Verified</t>
        </is>
      </c>
      <c r="N15" s="9" t="inlineStr">
        <is>
          <t>Partial (Pending Test Case &amp; Evidence)</t>
        </is>
      </c>
      <c r="O15" s="6" t="inlineStr">
        <is>
          <t>P05 ISSUE-007: Coarse-fine optical tracking mirror angular jitter limits and re-acquisition timeout budget undefined.</t>
        </is>
      </c>
    </row>
    <row r="16" ht="45" customHeight="1">
      <c r="A16" s="11" t="inlineStr">
        <is>
          <t>REQ-F-012</t>
        </is>
      </c>
      <c r="B16" s="12" t="inlineStr">
        <is>
          <t>The system shall establish and maintain secondary frequency-hopping, cryptographically encrypted SDR RF communications for command, control, and telemetry fallback when optical laser links are obscured or unavailable.</t>
        </is>
      </c>
      <c r="C16" s="7" t="inlineStr">
        <is>
          <t>Functional</t>
        </is>
      </c>
      <c r="D16" s="12" t="inlineStr">
        <is>
          <t>REA-T1-OVERVIEW-2026-V1.0</t>
        </is>
      </c>
      <c r="E16" s="12" t="inlineStr">
        <is>
          <t>Sec 2.2, Sec 5.2 (Stage 5), Sec 7 (Mod 05) (p. 3, 6, 8)</t>
        </is>
      </c>
      <c r="F16" s="12" t="inlineStr">
        <is>
          <t>MOD-10: Encrypted Frequency-Hopping RF Transceiver (SDR-RF-COMM) | Layer E: Secure Communications (Secondary RF) (FHSS SDR RF transceiver, AES-256 telemetry fallback link)</t>
        </is>
      </c>
      <c r="G16" s="12" t="inlineStr">
        <is>
          <t>IF-021, IF-022</t>
        </is>
      </c>
      <c r="H16" s="13" t="inlineStr">
        <is>
          <t>Demonstration</t>
        </is>
      </c>
      <c r="I16" s="12" t="inlineStr">
        <is>
          <t>AC-12.1, AC-12.2, AC-12.3, AC-12.4</t>
        </is>
      </c>
      <c r="J16" s="12" t="inlineStr">
        <is>
          <t>TBD (Test Case Not Yet Assigned / Pending Allocation)</t>
        </is>
      </c>
      <c r="K16" s="12" t="inlineStr">
        <is>
          <t>Planned: Automatic link switchover timestamp logs, RF spectrum frequency-hopping waterfall traces, and encrypted packet capture files.; Execution Evidence: Not Available / Pending Test Execution (Milestone M1-M5)</t>
        </is>
      </c>
      <c r="L16" s="9" t="inlineStr">
        <is>
          <t>Pending</t>
        </is>
      </c>
      <c r="M16" s="10" t="inlineStr">
        <is>
          <t>Not Verified</t>
        </is>
      </c>
      <c r="N16" s="9" t="inlineStr">
        <is>
          <t>Partial (Pending Test Case &amp; Evidence)</t>
        </is>
      </c>
      <c r="O16" s="12" t="inlineStr">
        <is>
          <t>P05 ISSUE-017: FHSS hop rate and AES-256 packet overhead under contested EW conditions pending flight test.</t>
        </is>
      </c>
    </row>
    <row r="17" ht="45" customHeight="1">
      <c r="A17" s="5" t="inlineStr">
        <is>
          <t>REQ-F-013</t>
        </is>
      </c>
      <c r="B17" s="6" t="inlineStr">
        <is>
          <t>The system shall compute real-time ballistic release timing based on target coordinates, radar altitude, and real-time wind speed/direction estimations, and actuate mechanical unlatching of the precision cargo drop pod.</t>
        </is>
      </c>
      <c r="C17" s="7" t="inlineStr">
        <is>
          <t>Functional</t>
        </is>
      </c>
      <c r="D17" s="6" t="inlineStr">
        <is>
          <t>REA-T1-OVERVIEW-2026-V1.0</t>
        </is>
      </c>
      <c r="E17" s="6" t="inlineStr">
        <is>
          <t>Sec 4, Sec 7 (Mod 06), Sec 8.2 (p. 4, 8, 9)</t>
        </is>
      </c>
      <c r="F17" s="6" t="inlineStr">
        <is>
          <t>MOD-06: Mission Payload &amp; Wind-Compensated Release (PAYLOAD-POD) | Layer G: Authorized Effectors &amp; Payloads (Wind-compensated ballistic release computer, opto-isolated unlatch actuator)</t>
        </is>
      </c>
      <c r="G17" s="6" t="inlineStr">
        <is>
          <t>IF-023, IF-024</t>
        </is>
      </c>
      <c r="H17" s="8" t="inlineStr">
        <is>
          <t>Demonstration</t>
        </is>
      </c>
      <c r="I17" s="6" t="inlineStr">
        <is>
          <t>AC-13.1, AC-13.2, AC-13.3, AC-13.4</t>
        </is>
      </c>
      <c r="J17" s="6" t="inlineStr">
        <is>
          <t>TBD (Test Case Not Yet Assigned / Pending Allocation)</t>
        </is>
      </c>
      <c r="K17" s="6" t="inlineStr">
        <is>
          <t>Planned: Ballistic calculator input/output log files, servo unlatch actuation electrical timestamp traces, and trajectory impact coordinates.; Execution Evidence: Not Available / Pending Test Execution (Milestone M1-M5)</t>
        </is>
      </c>
      <c r="L17" s="9" t="inlineStr">
        <is>
          <t>Pending</t>
        </is>
      </c>
      <c r="M17" s="10" t="inlineStr">
        <is>
          <t>Not Verified</t>
        </is>
      </c>
      <c r="N17" s="9" t="inlineStr">
        <is>
          <t>Partial (Pending Test Case &amp; Evidence)</t>
        </is>
      </c>
      <c r="O17" s="6" t="inlineStr">
        <is>
          <t>P05 ISSUE-008 / ISSUE-019: Maximum cargo drop pod payload mass (kg) and delivery CEP radius undefined; SWaP-C mass tension.</t>
        </is>
      </c>
    </row>
    <row r="18" ht="45" customHeight="1">
      <c r="A18" s="11" t="inlineStr">
        <is>
          <t>REQ-SEC-001</t>
        </is>
      </c>
      <c r="B18" s="12" t="inlineStr">
        <is>
          <t>The system shall cryptographically authenticate all bootloader binaries, operating system kernels, and robotic middleware nodes from hardware power-on using a dedicated Hardware Root of Trust and cryptographically signed boot keys.</t>
        </is>
      </c>
      <c r="C18" s="14" t="inlineStr">
        <is>
          <t>Security</t>
        </is>
      </c>
      <c r="D18" s="12" t="inlineStr">
        <is>
          <t>REA-T1-OVERVIEW-2026-V1.0</t>
        </is>
      </c>
      <c r="E18" s="12" t="inlineStr">
        <is>
          <t>Sec 2.2, Sec 6.3, Sec 7 (Layer H) (p. 3, 7, 8)</t>
        </is>
      </c>
      <c r="F18" s="12" t="inlineStr">
        <is>
          <t>MOD-12: Cybersecurity &amp; Hardware Root-of-Trust Service (SEC-TRUST) | Layer H: Cybersecurity &amp; Data Sovereignty (Hardware TPM 2.0 enclave, fuse-locked keys, multi-stage cryptographically signed boot)</t>
        </is>
      </c>
      <c r="G18" s="12" t="inlineStr">
        <is>
          <t>IF-004, IF-025</t>
        </is>
      </c>
      <c r="H18" s="13" t="inlineStr">
        <is>
          <t>Test</t>
        </is>
      </c>
      <c r="I18" s="12" t="inlineStr">
        <is>
          <t>AC-SEC-1.1, AC-SEC-1.2, AC-SEC-1.3, AC-SEC-1.4</t>
        </is>
      </c>
      <c r="J18" s="12" t="inlineStr">
        <is>
          <t>TBD (Test Case Not Yet Assigned / Pending Allocation)</t>
        </is>
      </c>
      <c r="K18" s="12" t="inlineStr">
        <is>
          <t>Planned: Serial UART secure boot console logs, cryptographic signature verification hash audit records, and TPM hardware status register dumps.; Execution Evidence: Not Available / Pending Test Execution (Milestone M1-M5)</t>
        </is>
      </c>
      <c r="L18" s="9" t="inlineStr">
        <is>
          <t>Pending</t>
        </is>
      </c>
      <c r="M18" s="10" t="inlineStr">
        <is>
          <t>Not Verified</t>
        </is>
      </c>
      <c r="N18" s="9" t="inlineStr">
        <is>
          <t>Partial (Pending Test Case &amp; Evidence)</t>
        </is>
      </c>
      <c r="O18" s="12" t="inlineStr">
        <is>
          <t>P06 OQ-010: Hardware Root-of-Trust silicon vendor selection and multi-stage boot key revocation protocol pending SERB approval.</t>
        </is>
      </c>
    </row>
    <row r="19" ht="45" customHeight="1">
      <c r="A19" s="5" t="inlineStr">
        <is>
          <t>REQ-SEC-002</t>
        </is>
      </c>
      <c r="B19" s="6" t="inlineStr">
        <is>
          <t>The system shall trigger irreversible hardware-enforced cryptographic flash memory erasure and instant zero-trace RAM purging upon detection of physical enclosure breach, anti-tamper sensor activation, or airframe capture.</t>
        </is>
      </c>
      <c r="C19" s="14" t="inlineStr">
        <is>
          <t>Security</t>
        </is>
      </c>
      <c r="D19" s="6" t="inlineStr">
        <is>
          <t>REA-T1-OVERVIEW-2026-V1.0</t>
        </is>
      </c>
      <c r="E19" s="6" t="inlineStr">
        <is>
          <t>Sec 2.2, Sec 5.2 (Stage 6), Sec 6.3, Sec 7 (Layer H) (p. 3, 6, 7, 8)</t>
        </is>
      </c>
      <c r="F19" s="6" t="inlineStr">
        <is>
          <t>MOD-12: Cybersecurity &amp; Hardware Root-of-Trust Service (SEC-TRUST) | Layer H: Cybersecurity &amp; Data Sovereignty (Chassis anti-tamper intrusion sensors, autonomous zero-trace flash wiping circuits)</t>
        </is>
      </c>
      <c r="G19" s="6" t="inlineStr">
        <is>
          <t>IF-026</t>
        </is>
      </c>
      <c r="H19" s="8" t="inlineStr">
        <is>
          <t>Test</t>
        </is>
      </c>
      <c r="I19" s="6" t="inlineStr">
        <is>
          <t>AC-SEC-2.1, AC-SEC-2.2, AC-SEC-2.3, AC-SEC-2.4</t>
        </is>
      </c>
      <c r="J19" s="6" t="inlineStr">
        <is>
          <t>TBD (Test Case Not Yet Assigned / Pending Allocation)</t>
        </is>
      </c>
      <c r="K19" s="6" t="inlineStr">
        <is>
          <t>Planned: Oscilloscope voltage drop timing screenshots, post-wipe forensic memory dump hex files, and anti-tamper event audit records.; Execution Evidence: Not Available / Pending Test Execution (Milestone M1-M5)</t>
        </is>
      </c>
      <c r="L19" s="9" t="inlineStr">
        <is>
          <t>Pending</t>
        </is>
      </c>
      <c r="M19" s="10" t="inlineStr">
        <is>
          <t>Not Verified</t>
        </is>
      </c>
      <c r="N19" s="9" t="inlineStr">
        <is>
          <t>Partial (Pending Test Case &amp; Evidence)</t>
        </is>
      </c>
      <c r="O19" s="6" t="inlineStr">
        <is>
          <t>P06 OQ-011: Physical tamper switch sensor sensitivity, false-trigger prevention, and flash wipe completion time budget undefined.</t>
        </is>
      </c>
    </row>
    <row r="20" ht="45" customHeight="1">
      <c r="A20" s="11" t="inlineStr">
        <is>
          <t>REQ-P-001</t>
        </is>
      </c>
      <c r="B20" s="12" t="inlineStr">
        <is>
          <t>The flight control attitude loops and stabilization algorithms running on dedicated real-time microcontrollers shall achieve deterministic inner-loop execution latency of under 1 millisecond (&lt; 1 ms).</t>
        </is>
      </c>
      <c r="C20" s="15" t="inlineStr">
        <is>
          <t>Performance</t>
        </is>
      </c>
      <c r="D20" s="12" t="inlineStr">
        <is>
          <t>REA-T1-OVERVIEW-2026-V1.0</t>
        </is>
      </c>
      <c r="E20" s="12" t="inlineStr">
        <is>
          <t>Sec 10 (Tier 3 Exit Criteria) (p. 11)</t>
        </is>
      </c>
      <c r="F20" s="12" t="inlineStr">
        <is>
          <t>MOD-07: Autopilot Flight Control Stack (PX4-AUTOPILOT) | Layer B: Navigation &amp; Autonomy (STM32H7 bare-metal MCU, 400 Hz inner-loop attitude interrupt (&lt; 1.0 ms latency))</t>
        </is>
      </c>
      <c r="G20" s="12" t="inlineStr">
        <is>
          <t>IF-006, IF-008, IF-009, IF-010</t>
        </is>
      </c>
      <c r="H20" s="13" t="inlineStr">
        <is>
          <t>Test</t>
        </is>
      </c>
      <c r="I20" s="12" t="inlineStr">
        <is>
          <t>AC-P-1.1, AC-P-1.2, AC-P-1.3, AC-P-1.4</t>
        </is>
      </c>
      <c r="J20" s="12" t="inlineStr">
        <is>
          <t>TBD (Test Case Not Yet Assigned / Pending Allocation)</t>
        </is>
      </c>
      <c r="K20" s="12" t="inlineStr">
        <is>
          <t>Planned: Oscilloscope timing histogram screenshots, logic analyzer pulse duration export files (.csv), and HIL real-time latency report.; Execution Evidence: Not Available / Pending Test Execution (Milestone M1-M5)</t>
        </is>
      </c>
      <c r="L20" s="9" t="inlineStr">
        <is>
          <t>Pending</t>
        </is>
      </c>
      <c r="M20" s="10" t="inlineStr">
        <is>
          <t>Not Verified</t>
        </is>
      </c>
      <c r="N20" s="9" t="inlineStr">
        <is>
          <t>Partial (Pending Test Case &amp; Evidence)</t>
        </is>
      </c>
      <c r="O20" s="12" t="inlineStr">
        <is>
          <t>P05 ISSUE-009: Baseline discrepancy between REA-T1 Tier 3 exit criteria (&lt; 1 ms) and historical P02 draft (&lt; 2 ms).</t>
        </is>
      </c>
    </row>
    <row r="21" ht="45" customHeight="1">
      <c r="A21" s="5" t="inlineStr">
        <is>
          <t>REQ-P-002</t>
        </is>
      </c>
      <c r="B21" s="6" t="inlineStr">
        <is>
          <t>The airframe, aerodynamics, and propulsion subsystems shall sustain operational tactical flight at a service ceiling of up to 6,500 meters Above Mean Sea Level (AMSL) in low air-density mountain environments.</t>
        </is>
      </c>
      <c r="C21" s="15" t="inlineStr">
        <is>
          <t>Performance</t>
        </is>
      </c>
      <c r="D21" s="6" t="inlineStr">
        <is>
          <t>REA-T1-OVERVIEW-2026-V1.0</t>
        </is>
      </c>
      <c r="E21" s="6" t="inlineStr">
        <is>
          <t>Sec 1, Sec 2, Sec 4 (p. 2, 3, 5)</t>
        </is>
      </c>
      <c r="F21" s="6" t="inlineStr">
        <is>
          <t>MOD-15: Cold-Weather Propulsion &amp; BMS / MOD-16: Airframe Structure | Layer B &amp; Airframe Substrate (High-altitude low-Reynolds propellers, high-thrust brushless motors, 6000 m service ceiling)</t>
        </is>
      </c>
      <c r="G21" s="6" t="inlineStr">
        <is>
          <t>N/A (Airframe / Propulsion / Thermal Physical Envelope)</t>
        </is>
      </c>
      <c r="H21" s="8" t="inlineStr">
        <is>
          <t>Test</t>
        </is>
      </c>
      <c r="I21" s="6" t="inlineStr">
        <is>
          <t>AC-P-2.1, AC-P-2.2, AC-P-2.3</t>
        </is>
      </c>
      <c r="J21" s="6" t="inlineStr">
        <is>
          <t>TBD (Test Case Not Yet Assigned / Pending Allocation)</t>
        </is>
      </c>
      <c r="K21" s="6" t="inlineStr">
        <is>
          <t>Planned: Hypobaric chamber test data logs, thrust vs RPM vs power curves at 440 hPa, and chamber calibration certificates.; Execution Evidence: Not Available / Pending Test Execution (Milestone M1-M5)</t>
        </is>
      </c>
      <c r="L21" s="9" t="inlineStr">
        <is>
          <t>Pending</t>
        </is>
      </c>
      <c r="M21" s="10" t="inlineStr">
        <is>
          <t>Not Verified</t>
        </is>
      </c>
      <c r="N21" s="9" t="inlineStr">
        <is>
          <t>Partial (Pending Test Case &amp; Evidence)</t>
        </is>
      </c>
      <c r="O21" s="6" t="inlineStr">
        <is>
          <t>P05 ISSUE-019: Tension between 6000 m service ceiling and multi-sensor payload weight; operational vs absolute ceiling.</t>
        </is>
      </c>
    </row>
    <row r="22" ht="45" customHeight="1">
      <c r="A22" s="11" t="inlineStr">
        <is>
          <t>REQ-P-003</t>
        </is>
      </c>
      <c r="B22" s="12" t="inlineStr">
        <is>
          <t>The flight stabilization system, control surfaces, and airframe structure shall sustain stable controlled flight under localized mountain wind shear and gusts of up to 25 meters per second (25 m/s).</t>
        </is>
      </c>
      <c r="C22" s="15" t="inlineStr">
        <is>
          <t>Performance</t>
        </is>
      </c>
      <c r="D22" s="12" t="inlineStr">
        <is>
          <t>REA-T1-OVERVIEW-2026-V1.0</t>
        </is>
      </c>
      <c r="E22" s="12" t="inlineStr">
        <is>
          <t>Sec 2.1, Sec 4, Sec 8.2 (p. 3, 5, 9)</t>
        </is>
      </c>
      <c r="F22" s="12" t="inlineStr">
        <is>
          <t>MOD-07: Flight Control &amp; MOD-16: Airframe Dynamics | Layer B &amp; Airframe Substrate (High-rate IMU angular rate feedback, rapid motor ESC response against mountain wind shear)</t>
        </is>
      </c>
      <c r="G22" s="12" t="inlineStr">
        <is>
          <t>IF-007, IF-020, IF-023</t>
        </is>
      </c>
      <c r="H22" s="13" t="inlineStr">
        <is>
          <t>Test</t>
        </is>
      </c>
      <c r="I22" s="12" t="inlineStr">
        <is>
          <t>AC-P-3.1, AC-P-3.2, AC-P-3.3, AC-P-3.4</t>
        </is>
      </c>
      <c r="J22" s="12" t="inlineStr">
        <is>
          <t>TBD (Test Case Not Yet Assigned / Pending Allocation)</t>
        </is>
      </c>
      <c r="K22" s="12" t="inlineStr">
        <is>
          <t>Planned: Gazebo flight dynamic telemetry logs, commanded vs actual attitude time-series plots, and aerodynamic stability audit reports.; Execution Evidence: Not Available / Pending Test Execution (Milestone M1-M5)</t>
        </is>
      </c>
      <c r="L22" s="9" t="inlineStr">
        <is>
          <t>Pending</t>
        </is>
      </c>
      <c r="M22" s="10" t="inlineStr">
        <is>
          <t>Not Verified</t>
        </is>
      </c>
      <c r="N22" s="9" t="inlineStr">
        <is>
          <t>Partial (Pending Test Case &amp; Evidence)</t>
        </is>
      </c>
      <c r="O22" s="12" t="inlineStr">
        <is>
          <t>P05 ISSUE-010: Mountain wind shear gust duration, turbulence models (Dryden/von Karman), and attitude excursion bounds undefined.</t>
        </is>
      </c>
    </row>
    <row r="23" ht="45" customHeight="1">
      <c r="A23" s="5" t="inlineStr">
        <is>
          <t>REQ-P-004</t>
        </is>
      </c>
      <c r="B23" s="6" t="inlineStr">
        <is>
          <t>The system electronics, avionics, propulsion motors, and insulated battery management cells shall maintain nominal operational performance in ambient temperatures down to -20°C (with threshold evaluation down to -30°C).</t>
        </is>
      </c>
      <c r="C23" s="15" t="inlineStr">
        <is>
          <t>Performance</t>
        </is>
      </c>
      <c r="D23" s="6" t="inlineStr">
        <is>
          <t>REA-T1-OVERVIEW-2026-V1.0</t>
        </is>
      </c>
      <c r="E23" s="6" t="inlineStr">
        <is>
          <t>Sec 9.2 (M2), Sec 10 (Tier 5) (p. 10, 11)</t>
        </is>
      </c>
      <c r="F23" s="6" t="inlineStr">
        <is>
          <t>MOD-15: Cold-Weather Propulsion &amp; Thermal Management System | Airframe Substrate (Low-temperature insulated battery pack, passive thermal enclosures, pre-heating down to -20°C)</t>
        </is>
      </c>
      <c r="G23" s="6" t="inlineStr">
        <is>
          <t>N/A (Airframe / Propulsion / Thermal Physical Envelope)</t>
        </is>
      </c>
      <c r="H23" s="8" t="inlineStr">
        <is>
          <t>Test</t>
        </is>
      </c>
      <c r="I23" s="6" t="inlineStr">
        <is>
          <t>AC-P-4.1, AC-P-4.2, AC-P-4.3, AC-P-4.4</t>
        </is>
      </c>
      <c r="J23" s="6" t="inlineStr">
        <is>
          <t>TBD (Test Case Not Yet Assigned / Pending Allocation)</t>
        </is>
      </c>
      <c r="K23" s="6" t="inlineStr">
        <is>
          <t>Planned: Environmental thermal chamber temperature/humidity logs, thermocouple time-history recordings, and system health audit files.; Execution Evidence: Not Available / Pending Test Execution (Milestone M1-M5)</t>
        </is>
      </c>
      <c r="L23" s="9" t="inlineStr">
        <is>
          <t>Pending</t>
        </is>
      </c>
      <c r="M23" s="10" t="inlineStr">
        <is>
          <t>Not Verified</t>
        </is>
      </c>
      <c r="N23" s="9" t="inlineStr">
        <is>
          <t>Partial (Pending Test Case &amp; Evidence)</t>
        </is>
      </c>
      <c r="O23" s="6" t="inlineStr">
        <is>
          <t>P05 ISSUE-011: Environmental thermal qualification conflict (-20°C in REA-T1 M2 vs -40°C in P02/Siachen operational envelope).</t>
        </is>
      </c>
    </row>
    <row r="24" ht="45" customHeight="1">
      <c r="A24" s="11" t="inlineStr">
        <is>
          <t>REQ-P-005</t>
        </is>
      </c>
      <c r="B24" s="12" t="inlineStr">
        <is>
          <t>The VIO and DEM terrain-matching navigation pipeline shall sustain continuous drift-bounded tactical flight in satellite-jammed airspace with sub-meter drift bounds (&lt; 0.8m to 1.0m per hour positional error).</t>
        </is>
      </c>
      <c r="C24" s="15" t="inlineStr">
        <is>
          <t>Performance</t>
        </is>
      </c>
      <c r="D24" s="12" t="inlineStr">
        <is>
          <t>REA-T1-OVERVIEW-2026-V1.0</t>
        </is>
      </c>
      <c r="E24" s="12" t="inlineStr">
        <is>
          <t>Sec 2.2, Sec 10 (Tier 8 Exit Criteria) (p. 3, 11)</t>
        </is>
      </c>
      <c r="F24" s="12" t="inlineStr">
        <is>
          <t>MOD-01: GNSS-Denied Localization &amp; Navigation (VIO-NAV) | Layer B: Navigation &amp; Autonomy (Extended Kalman Filter fusing VIO, 200 Hz IMU, LiDAR range, and DEM relief (&lt; 1.0 m drift bound))</t>
        </is>
      </c>
      <c r="G24" s="12" t="inlineStr">
        <is>
          <t>IF-002, IF-003, IF-004, IF-005</t>
        </is>
      </c>
      <c r="H24" s="13" t="inlineStr">
        <is>
          <t>Test</t>
        </is>
      </c>
      <c r="I24" s="12" t="inlineStr">
        <is>
          <t>AC-P-5.1, AC-P-5.2, AC-P-5.3</t>
        </is>
      </c>
      <c r="J24" s="12" t="inlineStr">
        <is>
          <t>TBD (Test Case Not Yet Assigned / Pending Allocation)</t>
        </is>
      </c>
      <c r="K24" s="12" t="inlineStr">
        <is>
          <t>Planned: 60-minute trajectory ground-truth vs estimated pose CSV dataset, CEP error distribution plots, and Tier 8 exit criteria verification log.; Execution Evidence: Not Available / Pending Test Execution (Milestone M1-M5)</t>
        </is>
      </c>
      <c r="L24" s="9" t="inlineStr">
        <is>
          <t>Pending</t>
        </is>
      </c>
      <c r="M24" s="10" t="inlineStr">
        <is>
          <t>Not Verified</t>
        </is>
      </c>
      <c r="N24" s="9" t="inlineStr">
        <is>
          <t>Partial (Pending Test Case &amp; Evidence)</t>
        </is>
      </c>
      <c r="O24" s="12" t="inlineStr">
        <is>
          <t>P05 ISSUE-012 / FIND-DUP-003: Positional drift bound phrasing ambiguity (&lt; 1.0 m per hour vs absolute); CEP confidence interval needed.</t>
        </is>
      </c>
    </row>
    <row r="25" ht="45" customHeight="1">
      <c r="A25" s="5" t="inlineStr">
        <is>
          <t>REQ-P-006</t>
        </is>
      </c>
      <c r="B25" s="6" t="inlineStr">
        <is>
          <t>The Free-Space Optical (FSO) laser communications subsystem shall deliver high-bandwidth, jam-proof data throughput (target &gt;= 1.2 Gbps) over an optical line-of-sight range of up to 18 kilometers.</t>
        </is>
      </c>
      <c r="C25" s="15" t="inlineStr">
        <is>
          <t>Performance</t>
        </is>
      </c>
      <c r="D25" s="6" t="inlineStr">
        <is>
          <t>REA-T1-OVERVIEW-2026-V1.0</t>
        </is>
      </c>
      <c r="E25" s="6" t="inlineStr">
        <is>
          <t>Sec 2.2, Sec 4, Sec 7 (Mod 05) (p. 3, 5, 8)</t>
        </is>
      </c>
      <c r="F25" s="6" t="inlineStr">
        <is>
          <t>MOD-05: Secure Free-Space Optical Transceiver (FSO-COMM) | Layer E: Secure Communications (1550 nm collimated optical laser transceiver, up to 1.2 Gbps burst throughput over 18 km)</t>
        </is>
      </c>
      <c r="G25" s="6" t="inlineStr">
        <is>
          <t>IF-018, IF-019, IF-020</t>
        </is>
      </c>
      <c r="H25" s="8" t="inlineStr">
        <is>
          <t>Test</t>
        </is>
      </c>
      <c r="I25" s="6" t="inlineStr">
        <is>
          <t>AC-P-6.1, AC-P-6.2, AC-P-6.3</t>
        </is>
      </c>
      <c r="J25" s="6" t="inlineStr">
        <is>
          <t>TBD (Test Case Not Yet Assigned / Pending Allocation)</t>
        </is>
      </c>
      <c r="K25" s="6" t="inlineStr">
        <is>
          <t>Planned: BERT throughput and bit error log files, optical receiver power level records, and link range survey certificates.; Execution Evidence: Not Available / Pending Test Execution (Milestone M1-M5)</t>
        </is>
      </c>
      <c r="L25" s="9" t="inlineStr">
        <is>
          <t>Pending</t>
        </is>
      </c>
      <c r="M25" s="10" t="inlineStr">
        <is>
          <t>Not Verified</t>
        </is>
      </c>
      <c r="N25" s="9" t="inlineStr">
        <is>
          <t>Partial (Pending Test Case &amp; Evidence)</t>
        </is>
      </c>
      <c r="O25" s="6" t="inlineStr">
        <is>
          <t>P05 ISSUE-013 / FIND-DUP-001: FSO throughput (1.2 Gbps) across 18 km vs adverse atmospheric fog/cloud attenuation limits.</t>
        </is>
      </c>
    </row>
    <row r="26" ht="45" customHeight="1">
      <c r="A26" s="11" t="inlineStr">
        <is>
          <t>REQ-P-007</t>
        </is>
      </c>
      <c r="B26" s="12" t="inlineStr">
        <is>
          <t>The onboard compute fabric shall integrate heterogeneous processing cores (CPU, GPU, NPU, and DSP) delivering dedicated neural acceleration with a planned migration roadmap to sovereign Indian processors (C-DAC VEGA / IIT Madras SHAKTI).</t>
        </is>
      </c>
      <c r="C26" s="15" t="inlineStr">
        <is>
          <t>Performance</t>
        </is>
      </c>
      <c r="D26" s="12" t="inlineStr">
        <is>
          <t>REA-T1-OVERVIEW-2026-V1.0</t>
        </is>
      </c>
      <c r="E26" s="12" t="inlineStr">
        <is>
          <t>Sec 2.2, Sec 6.2, Sec 11.3 (p. 3, 7, 12)</t>
        </is>
      </c>
      <c r="F26" s="12" t="inlineStr">
        <is>
          <t>Heterogeneous Edge Compute Substrate (CPU/GPU/NPU/DSP) | Layer C: Heterogeneous Edge Compute (Multi-core CPU, high-throughput GPU/NPU/DSP matrix, zero-copy shared memory architecture)</t>
        </is>
      </c>
      <c r="G26" s="12" t="inlineStr">
        <is>
          <t>IF-001, IF-012, IF-014, IF-016, IF-017</t>
        </is>
      </c>
      <c r="H26" s="13" t="inlineStr">
        <is>
          <t>Inspection</t>
        </is>
      </c>
      <c r="I26" s="12" t="inlineStr">
        <is>
          <t>AC-P-7.1, AC-P-7.2, AC-P-7.3</t>
        </is>
      </c>
      <c r="J26" s="12" t="inlineStr">
        <is>
          <t>TBD (Test Case Not Yet Assigned / Pending Allocation)</t>
        </is>
      </c>
      <c r="K26" s="12" t="inlineStr">
        <is>
          <t>Planned: Board hardware architecture specification dossiers, compute benchmark test execution reports, and software portability audit sign-offs.; Execution Evidence: Not Available / Pending Test Execution (Milestone M1-M5)</t>
        </is>
      </c>
      <c r="L26" s="9" t="inlineStr">
        <is>
          <t>Pending</t>
        </is>
      </c>
      <c r="M26" s="10" t="inlineStr">
        <is>
          <t>Not Verified</t>
        </is>
      </c>
      <c r="N26" s="9" t="inlineStr">
        <is>
          <t>Partial (Pending Test Case &amp; Evidence)</t>
        </is>
      </c>
      <c r="O26" s="12" t="inlineStr">
        <is>
          <t>P05 ISSUE-014: Architectural tension between near-term COTS AI compute (NVIDIA) and sovereign silicon roadmap (C-DAC VEGA / SHAKTI).</t>
        </is>
      </c>
    </row>
    <row r="27" ht="45" customHeight="1">
      <c r="A27" s="5" t="inlineStr">
        <is>
          <t>REQ-P-008</t>
        </is>
      </c>
      <c r="B27" s="6" t="inlineStr">
        <is>
          <t>Onboard visual neural models optimized and compiled for low-latency integer quantization (INT8) shall achieve real-time inference execution throughput of up to 60 frames per second (60 FPS).</t>
        </is>
      </c>
      <c r="C27" s="15" t="inlineStr">
        <is>
          <t>Performance</t>
        </is>
      </c>
      <c r="D27" s="6" t="inlineStr">
        <is>
          <t>REA-T1-OVERVIEW-2026-V1.0</t>
        </is>
      </c>
      <c r="E27" s="6" t="inlineStr">
        <is>
          <t>Sec 4, Sec 6.3 (p. 5, 7)</t>
        </is>
      </c>
      <c r="F27" s="6" t="inlineStr">
        <is>
          <t>MOD-03: Heterogeneous Edge Intelligence Engine (EDGE-AI) | Layer F: Mission Intelligence &amp; AI (NVIDIA TensorRT INT8 post-training quantization engine, real-time inference pipeline)</t>
        </is>
      </c>
      <c r="G27" s="6" t="inlineStr">
        <is>
          <t>IF-017</t>
        </is>
      </c>
      <c r="H27" s="8" t="inlineStr">
        <is>
          <t>Test</t>
        </is>
      </c>
      <c r="I27" s="6" t="inlineStr">
        <is>
          <t>AC-P-8.1, AC-P-8.2, AC-P-8.3, AC-P-8.4</t>
        </is>
      </c>
      <c r="J27" s="6" t="inlineStr">
        <is>
          <t>TBD (Test Case Not Yet Assigned / Pending Allocation)</t>
        </is>
      </c>
      <c r="K27" s="6" t="inlineStr">
        <is>
          <t>Planned: Inference benchmark timing execution logs, frame-by-frame latency CSV exports, and FP32 vs INT8 accuracy comparison matrix.; Execution Evidence: Not Available / Pending Test Execution (Milestone M1-M5)</t>
        </is>
      </c>
      <c r="L27" s="9" t="inlineStr">
        <is>
          <t>Pending</t>
        </is>
      </c>
      <c r="M27" s="10" t="inlineStr">
        <is>
          <t>Not Verified</t>
        </is>
      </c>
      <c r="N27" s="9" t="inlineStr">
        <is>
          <t>Partial (Pending Test Case &amp; Evidence)</t>
        </is>
      </c>
      <c r="O27" s="6" t="inlineStr">
        <is>
          <t>P05 ISSUE-015 / FIND-DUP-004: Neural inference ceiling phrasing ("up to 60 FPS") vs minimum acceptable latency per neural model.</t>
        </is>
      </c>
    </row>
    <row r="28" ht="45" customHeight="1">
      <c r="A28" s="11" t="inlineStr">
        <is>
          <t>REQ-P-009</t>
        </is>
      </c>
      <c r="B28" s="12" t="inlineStr">
        <is>
          <t>The faceted carbon-composite monocoque airframe with embedded radar-absorbing material (RAM) shall achieve a reduced Radar Cross-Section (target estimated &lt; 0.01 m²) across X and Ku radar frequency bands.</t>
        </is>
      </c>
      <c r="C28" s="15" t="inlineStr">
        <is>
          <t>Performance</t>
        </is>
      </c>
      <c r="D28" s="12" t="inlineStr">
        <is>
          <t>REA-T1-OVERVIEW-2026-V1.0</t>
        </is>
      </c>
      <c r="E28" s="12" t="inlineStr">
        <is>
          <t>Sec 2.2, Sec 4, Sec 6.2 (p. 3, 5, 7)</t>
        </is>
      </c>
      <c r="F28" s="12" t="inlineStr">
        <is>
          <t>MOD-16: Low-RCS Stealth Airframe &amp; Composite Structures | Airframe Substrate (Faceted low-RCS airframe geometry, carbon-fiber composite layups, radar-absorbing materials (RAM))</t>
        </is>
      </c>
      <c r="G28" s="12" t="inlineStr">
        <is>
          <t>N/A (Airframe / Propulsion / Thermal Physical Envelope)</t>
        </is>
      </c>
      <c r="H28" s="13" t="inlineStr">
        <is>
          <t>Analysis</t>
        </is>
      </c>
      <c r="I28" s="12" t="inlineStr">
        <is>
          <t>AC-P-9.1, AC-P-9.2, AC-P-9.3, AC-P-9.4</t>
        </is>
      </c>
      <c r="J28" s="12" t="inlineStr">
        <is>
          <t>TBD (Test Case Not Yet Assigned / Pending Allocation)</t>
        </is>
      </c>
      <c r="K28" s="12" t="inlineStr">
        <is>
          <t>Planned: Computational electromagnetics simulation report, 2D/3D RCS polar backscatter plots, and material permittivity laboratory test certificates.; Execution Evidence: Not Available / Pending Test Execution (Milestone M1-M5)</t>
        </is>
      </c>
      <c r="L28" s="9" t="inlineStr">
        <is>
          <t>Pending</t>
        </is>
      </c>
      <c r="M28" s="10" t="inlineStr">
        <is>
          <t>Not Verified</t>
        </is>
      </c>
      <c r="N28" s="9" t="inlineStr">
        <is>
          <t>Partial (Pending Test Case &amp; Evidence)</t>
        </is>
      </c>
      <c r="O28" s="12" t="inlineStr">
        <is>
          <t>P05 ISSUE-016: Radar Cross-Section subjective phrasing ("target estimated low-RCS") requires numeric benchmark (m^2 at X-band).</t>
        </is>
      </c>
    </row>
    <row r="29" ht="45" customHeight="1">
      <c r="A29" s="5" t="inlineStr">
        <is>
          <t>REQ-P-010</t>
        </is>
      </c>
      <c r="B29" s="6" t="inlineStr">
        <is>
          <t>The Software-Defined Radio (SDR) subsystem shall operate across a continuous wideband radio frequency monitoring range spanning from 400 MHz to 6 GHz (with design evaluation spanning 10 MHz to 6 GHz).</t>
        </is>
      </c>
      <c r="C29" s="15" t="inlineStr">
        <is>
          <t>Performance</t>
        </is>
      </c>
      <c r="D29" s="6" t="inlineStr">
        <is>
          <t>REA-T1-OVERVIEW-2026-V1.0</t>
        </is>
      </c>
      <c r="E29" s="6" t="inlineStr">
        <is>
          <t>Sec 7 (Mod 04) (p. 8)</t>
        </is>
      </c>
      <c r="F29" s="6" t="inlineStr">
        <is>
          <t>MOD-04: Electromagnetic Sensing &amp; Acoustic Tracking (EW-DSP) | Layer D: Electromagnetic Awareness (Wideband SDR RF receiver front-end covering 400 MHz to 6 GHz RF spectrum band)</t>
        </is>
      </c>
      <c r="G29" s="6" t="inlineStr">
        <is>
          <t>IF-011, IF-013, IF-022</t>
        </is>
      </c>
      <c r="H29" s="8" t="inlineStr">
        <is>
          <t>Test</t>
        </is>
      </c>
      <c r="I29" s="6" t="inlineStr">
        <is>
          <t>AC-P-10.1, AC-P-10.2, AC-P-10.3, AC-P-10.4</t>
        </is>
      </c>
      <c r="J29" s="6" t="inlineStr">
        <is>
          <t>TBD (Test Case Not Yet Assigned / Pending Allocation)</t>
        </is>
      </c>
      <c r="K29" s="6" t="inlineStr">
        <is>
          <t>Planned: SDR tuner frequency sweep test report, noise figure vs frequency calibration plots, and RF laboratory test records.; Execution Evidence: Not Available / Pending Test Execution (Milestone M1-M5)</t>
        </is>
      </c>
      <c r="L29" s="9" t="inlineStr">
        <is>
          <t>Pending</t>
        </is>
      </c>
      <c r="M29" s="10" t="inlineStr">
        <is>
          <t>Not Verified</t>
        </is>
      </c>
      <c r="N29" s="9" t="inlineStr">
        <is>
          <t>Partial (Pending Test Case &amp; Evidence)</t>
        </is>
      </c>
      <c r="O29" s="6" t="inlineStr">
        <is>
          <t>P05 ISSUE-017 / FIND-DUP-002: RF monitoring band conflict (400 MHz-6 GHz vs 70 MHz-6 GHz in P02); antenna SWaP constraints.</t>
        </is>
      </c>
    </row>
    <row r="30" ht="45" customHeight="1">
      <c r="A30" s="11" t="inlineStr">
        <is>
          <t>REQ-S-001</t>
        </is>
      </c>
      <c r="B30" s="12" t="inlineStr">
        <is>
          <t>The flight control software stack shall execute on dedicated bare-metal microcontrollers physically independent of the Linux edge compute operating system to guarantee that edge AI exceptions cannot compromise flight stability.</t>
        </is>
      </c>
      <c r="C30" s="16" t="inlineStr">
        <is>
          <t>Safety</t>
        </is>
      </c>
      <c r="D30" s="12" t="inlineStr">
        <is>
          <t>REA-T1-OVERVIEW-2026-V1.0</t>
        </is>
      </c>
      <c r="E30" s="12" t="inlineStr">
        <is>
          <t>Sec 4, Sec 8.3 (p. 5, 9)</t>
        </is>
      </c>
      <c r="F30" s="12" t="inlineStr">
        <is>
          <t>Flight Avionics Hardware Isolation Architecture | Layer B &amp; Layer C (Physical electrical isolation between bare-metal flight MCU (STM32H7) and Linux edge compute host)</t>
        </is>
      </c>
      <c r="G30" s="12" t="inlineStr">
        <is>
          <t>IF-005, IF-008, IF-009, IF-010</t>
        </is>
      </c>
      <c r="H30" s="13" t="inlineStr">
        <is>
          <t>Inspection</t>
        </is>
      </c>
      <c r="I30" s="12" t="inlineStr">
        <is>
          <t>AC-S-1.1, AC-S-1.2, AC-S-1.3</t>
        </is>
      </c>
      <c r="J30" s="12" t="inlineStr">
        <is>
          <t>TBD (Test Case Not Yet Assigned / Pending Allocation)</t>
        </is>
      </c>
      <c r="K30" s="12" t="inlineStr">
        <is>
          <t>Planned: Hardware design review sign-off records, PCB trace routing inspection reports, and HIL fault-injection test logs.; Execution Evidence: Not Available / Pending Test Execution (Milestone M1-M5)</t>
        </is>
      </c>
      <c r="L30" s="9" t="inlineStr">
        <is>
          <t>Pending</t>
        </is>
      </c>
      <c r="M30" s="10" t="inlineStr">
        <is>
          <t>Not Verified</t>
        </is>
      </c>
      <c r="N30" s="9" t="inlineStr">
        <is>
          <t>Partial (Pending Test Case &amp; Evidence)</t>
        </is>
      </c>
      <c r="O30" s="12" t="inlineStr">
        <is>
          <t>P06 OQ-013: Dedicated hardware electrical isolation bus specification and watchdog failsafe trip threshold confirmation.</t>
        </is>
      </c>
    </row>
    <row r="31" ht="45" customHeight="1">
      <c r="A31" s="5" t="inlineStr">
        <is>
          <t>REQ-S-002</t>
        </is>
      </c>
      <c r="B31" s="6" t="inlineStr">
        <is>
          <t>The flight software lifecycle and airborne electronic hardware components shall adhere to structured safety and validation standards governed by the 10-Tier Validation Ladder and applicable aerospace airworthiness guidelines (DO-178C / DO-254 / iDEX Evaluation Standard).</t>
        </is>
      </c>
      <c r="C31" s="16" t="inlineStr">
        <is>
          <t>Safety</t>
        </is>
      </c>
      <c r="D31" s="6" t="inlineStr">
        <is>
          <t>REA-T1-OVERVIEW-2026-V1.0</t>
        </is>
      </c>
      <c r="E31" s="6" t="inlineStr">
        <is>
          <t>Sec 1, Sec 10 (p. 2, 11)</t>
        </is>
      </c>
      <c r="F31" s="6" t="inlineStr">
        <is>
          <t>Quality Assurance &amp; Systems Safety Governance (QA-SAFETY) | System-Wide Architecture (DO-178C software &amp; DO-254 hardware safety lifecycle compliance, 10-Tier Validation Ladder)</t>
        </is>
      </c>
      <c r="G31" s="6" t="inlineStr">
        <is>
          <t>N/A (Safety Governance &amp; Lifecycle Process)</t>
        </is>
      </c>
      <c r="H31" s="8" t="inlineStr">
        <is>
          <t>Analysis</t>
        </is>
      </c>
      <c r="I31" s="6" t="inlineStr">
        <is>
          <t>AC-S-2.1, AC-S-2.2, AC-S-2.3, AC-S-2.4</t>
        </is>
      </c>
      <c r="J31" s="6" t="inlineStr">
        <is>
          <t>TBD (Test Case Not Yet Assigned / Pending Allocation)</t>
        </is>
      </c>
      <c r="K31" s="6" t="inlineStr">
        <is>
          <t>Planned: Static analysis audit certificates, bidirectional traceability matrix, and formal gate sign-off minutes.; Execution Evidence: Not Available / Pending Test Execution (Milestone M1-M5)</t>
        </is>
      </c>
      <c r="L31" s="9" t="inlineStr">
        <is>
          <t>Pending</t>
        </is>
      </c>
      <c r="M31" s="10" t="inlineStr">
        <is>
          <t>Not Verified</t>
        </is>
      </c>
      <c r="N31" s="9" t="inlineStr">
        <is>
          <t>Partial (Pending Test Case &amp; Evidence)</t>
        </is>
      </c>
      <c r="O31" s="6" t="inlineStr">
        <is>
          <t>P05 ISSUE-018: Safety standards selection (DO-178C / DO-254 vs Def-Stan) and subsystem Design Assurance Level (DAL) unallocated.</t>
        </is>
      </c>
    </row>
    <row r="32" ht="45" customHeight="1">
      <c r="A32" s="11" t="inlineStr">
        <is>
          <t>REQ-S-003</t>
        </is>
      </c>
      <c r="B32" s="12" t="inlineStr">
        <is>
          <t>The system shall route autopilot-to-compute communications over deterministic high-speed buses with hardware watchdog heartbeats, automatically executing internal return-to-home or failsafe procedures upon communication link loss.</t>
        </is>
      </c>
      <c r="C32" s="16" t="inlineStr">
        <is>
          <t>Safety</t>
        </is>
      </c>
      <c r="D32" s="12" t="inlineStr">
        <is>
          <t>REA-T1-OVERVIEW-2026-V1.0</t>
        </is>
      </c>
      <c r="E32" s="12" t="inlineStr">
        <is>
          <t>Sec 8.2 (Table 2), Sec 8.3 (p. 9)</t>
        </is>
      </c>
      <c r="F32" s="12" t="inlineStr">
        <is>
          <t>Avionics Communications Bus Subsystem (MOD-07, MOD-08) | Layer B: Navigation &amp; Autonomy (Redundant CAN-bus / Ethernet channels, 10 Hz heartbeat monitor, 500 ms link-loss failsafe)</t>
        </is>
      </c>
      <c r="G32" s="12" t="inlineStr">
        <is>
          <t>IF-003, IF-006, IF-008, IF-021, IF-022</t>
        </is>
      </c>
      <c r="H32" s="13" t="inlineStr">
        <is>
          <t>Test</t>
        </is>
      </c>
      <c r="I32" s="12" t="inlineStr">
        <is>
          <t>AC-S-3.1, AC-S-3.2, AC-S-3.3, AC-S-3.4</t>
        </is>
      </c>
      <c r="J32" s="12" t="inlineStr">
        <is>
          <t>TBD (Test Case Not Yet Assigned / Pending Allocation)</t>
        </is>
      </c>
      <c r="K32" s="12" t="inlineStr">
        <is>
          <t>Planned: Protocol analyzer communication bus trace files, flight controller failsafe event log files, and watchdog timer oscilloscope traces.; Execution Evidence: Not Available / Pending Test Execution (Milestone M1-M5)</t>
        </is>
      </c>
      <c r="L32" s="9" t="inlineStr">
        <is>
          <t>Pending</t>
        </is>
      </c>
      <c r="M32" s="10" t="inlineStr">
        <is>
          <t>Not Verified</t>
        </is>
      </c>
      <c r="N32" s="9" t="inlineStr">
        <is>
          <t>Partial (Pending Test Case &amp; Evidence)</t>
        </is>
      </c>
      <c r="O32" s="12" t="inlineStr">
        <is>
          <t>P06 OQ-014: Redundant CAN-bus arbitration timing and 500 ms heartbeat loss failsafe transition behavior.</t>
        </is>
      </c>
    </row>
    <row r="33" ht="45" customHeight="1">
      <c r="A33" s="5" t="inlineStr">
        <is>
          <t>REQ-S-004</t>
        </is>
      </c>
      <c r="B33" s="6" t="inlineStr">
        <is>
          <t>The precision cargo drop mechanism shall be controlled via opto-isolated solid-state I/O requiring dual-redundant discrete logic signals to prevent accidental payload unlatching during boot, power transients, or software faults.</t>
        </is>
      </c>
      <c r="C33" s="16" t="inlineStr">
        <is>
          <t>Safety</t>
        </is>
      </c>
      <c r="D33" s="6" t="inlineStr">
        <is>
          <t>REA-T1-OVERVIEW-2026-V1.0</t>
        </is>
      </c>
      <c r="E33" s="6" t="inlineStr">
        <is>
          <t>Sec 4, Sec 8.2 (Table 2) (p. 4, 9)</t>
        </is>
      </c>
      <c r="F33" s="6" t="inlineStr">
        <is>
          <t>MOD-06: Mission Payload &amp; Wind-Compensated Release (PAYLOAD-POD) | Layer G: Authorized Effectors &amp; Payloads (Dual-redundant opto-isolated solid-state interlock logic (discrete Arm + Fire commands))</t>
        </is>
      </c>
      <c r="G33" s="6" t="inlineStr">
        <is>
          <t>IF-023, IF-024</t>
        </is>
      </c>
      <c r="H33" s="8" t="inlineStr">
        <is>
          <t>Test</t>
        </is>
      </c>
      <c r="I33" s="6" t="inlineStr">
        <is>
          <t>AC-S-4.1, AC-S-4.2, AC-S-4.3, AC-S-4.4</t>
        </is>
      </c>
      <c r="J33" s="6" t="inlineStr">
        <is>
          <t>TBD (Test Case Not Yet Assigned / Pending Allocation)</t>
        </is>
      </c>
      <c r="K33" s="6" t="inlineStr">
        <is>
          <t>Planned: Oscilloscope voltage capture waveforms, power-on transient audit logs, and hardware safety interlock test reports.; Execution Evidence: Not Available / Pending Test Execution (Milestone M1-M5)</t>
        </is>
      </c>
      <c r="L33" s="9" t="inlineStr">
        <is>
          <t>Pending</t>
        </is>
      </c>
      <c r="M33" s="10" t="inlineStr">
        <is>
          <t>Not Verified</t>
        </is>
      </c>
      <c r="N33" s="9" t="inlineStr">
        <is>
          <t>Partial (Pending Test Case &amp; Evidence)</t>
        </is>
      </c>
      <c r="O33" s="6" t="inlineStr">
        <is>
          <t>P05 ISSUE-008: Dual-redundant opto-isolated solid-state interlock logic timing window (&lt;= 50 ms) and inadvertent release voltage threshold.</t>
        </is>
      </c>
    </row>
    <row r="34" ht="45" customHeight="1">
      <c r="A34" s="11" t="inlineStr">
        <is>
          <t>REQ-S-005</t>
        </is>
      </c>
      <c r="B34" s="12" t="inlineStr">
        <is>
          <t>The edge compute software architecture shall restrict all inter-process communications to local shared memory (POSIX shm) or loopback sockets under a hardened air-gapped OS, strictly prohibiting unvetted external network bridging.</t>
        </is>
      </c>
      <c r="C34" s="16" t="inlineStr">
        <is>
          <t>Safety</t>
        </is>
      </c>
      <c r="D34" s="12" t="inlineStr">
        <is>
          <t>REA-T1-OVERVIEW-2026-V1.0</t>
        </is>
      </c>
      <c r="E34" s="12" t="inlineStr">
        <is>
          <t>Sec 6.3, Sec 8.3 (p. 7, 9)</t>
        </is>
      </c>
      <c r="F34" s="12" t="inlineStr">
        <is>
          <t>Operating System &amp; Network Architecture | Layer C &amp; Layer H (Hardened air-gapped Linux OS, POSIX shared memory / loopback Unix sockets, strict external IP isolation)</t>
        </is>
      </c>
      <c r="G34" s="12" t="inlineStr">
        <is>
          <t>IF-001, IF-002, IF-011, IF-013, IF-014, IF-018, IF-025, IF-026</t>
        </is>
      </c>
      <c r="H34" s="13" t="inlineStr">
        <is>
          <t>Inspection</t>
        </is>
      </c>
      <c r="I34" s="12" t="inlineStr">
        <is>
          <t>AC-S-5.1, AC-S-5.2, AC-S-5.3, AC-S-5.4</t>
        </is>
      </c>
      <c r="J34" s="12" t="inlineStr">
        <is>
          <t>TBD (Test Case Not Yet Assigned / Pending Allocation)</t>
        </is>
      </c>
      <c r="K34" s="12" t="inlineStr">
        <is>
          <t>Planned: Nmap network audit report, kernel routing table dumps, and software architecture security inspection records.; Execution Evidence: Not Available / Pending Test Execution (Milestone M1-M5)</t>
        </is>
      </c>
      <c r="L34" s="9" t="inlineStr">
        <is>
          <t>Pending</t>
        </is>
      </c>
      <c r="M34" s="10" t="inlineStr">
        <is>
          <t>Not Verified</t>
        </is>
      </c>
      <c r="N34" s="9" t="inlineStr">
        <is>
          <t>Partial (Pending Test Case &amp; Evidence)</t>
        </is>
      </c>
      <c r="O34" s="12" t="inlineStr">
        <is>
          <t>P06 OQ-015: Air-gapped network boundary rules and local maintenance port physical lockout protocol.</t>
        </is>
      </c>
    </row>
    <row r="35" ht="45" customHeight="1">
      <c r="A35" s="5" t="inlineStr">
        <is>
          <t>REQ-S-006</t>
        </is>
      </c>
      <c r="B35" s="6" t="inlineStr">
        <is>
          <t>The integrated avionics, sensors, and inter-module communication buses shall sustain continuous operation for at least 48 hours with zero bus collisions during benchtop integration (Tier 4) prior to flight test authorization.</t>
        </is>
      </c>
      <c r="C35" s="16" t="inlineStr">
        <is>
          <t>Safety</t>
        </is>
      </c>
      <c r="D35" s="6" t="inlineStr">
        <is>
          <t>REA-T1-OVERVIEW-2026-V1.0</t>
        </is>
      </c>
      <c r="E35" s="6" t="inlineStr">
        <is>
          <t>Sec 10 (Tier 4 Exit Criteria) (p. 11)</t>
        </is>
      </c>
      <c r="F35" s="6" t="inlineStr">
        <is>
          <t>Benchtop Integration &amp; Avionics Testbench (SIM-HIL) | Validation Ladder Tier 4 (Milestone 2 physical benchtop testbench, continuous 48-hour zero bus collision stress test)</t>
        </is>
      </c>
      <c r="G35" s="6" t="inlineStr">
        <is>
          <t>IF-003, IF-005, IF-008</t>
        </is>
      </c>
      <c r="H35" s="8" t="inlineStr">
        <is>
          <t>Test</t>
        </is>
      </c>
      <c r="I35" s="6" t="inlineStr">
        <is>
          <t>AC-S-6.1, AC-S-6.2, AC-S-6.3, AC-S-6.4</t>
        </is>
      </c>
      <c r="J35" s="6" t="inlineStr">
        <is>
          <t>TBD (Test Case Not Yet Assigned / Pending Allocation)</t>
        </is>
      </c>
      <c r="K35" s="6" t="inlineStr">
        <is>
          <t>Planned: 48-hour continuous bus analyzer log files, thermal telemetry history plots, and Tier 4 formal exit gate verification report.; Execution Evidence: Not Available / Pending Test Execution (Milestone M1-M5)</t>
        </is>
      </c>
      <c r="L35" s="9" t="inlineStr">
        <is>
          <t>Pending</t>
        </is>
      </c>
      <c r="M35" s="10" t="inlineStr">
        <is>
          <t>Not Verified</t>
        </is>
      </c>
      <c r="N35" s="9" t="inlineStr">
        <is>
          <t>Partial (Pending Test Case &amp; Evidence)</t>
        </is>
      </c>
      <c r="O35" s="6" t="inlineStr">
        <is>
          <t>P06 OQ-016: Milestone 2 Tier 4 benchtop integration 48-hour continuous zero-collision bus test criteria.</t>
        </is>
      </c>
    </row>
    <row r="36" ht="45" customHeight="1">
      <c r="A36" s="11" t="inlineStr">
        <is>
          <t>REQ-D-001</t>
        </is>
      </c>
      <c r="B36" s="12" t="inlineStr">
        <is>
          <t>The engineering team shall baseline and freeze the comprehensive System Requirements Specification (SRS) governing all 20 frozen advanced capabilities during Milestone 1 (Months 1–4).</t>
        </is>
      </c>
      <c r="C36" s="17" t="inlineStr">
        <is>
          <t>Documentation</t>
        </is>
      </c>
      <c r="D36" s="12" t="inlineStr">
        <is>
          <t>REA-T1-OVERVIEW-2026-V1.0</t>
        </is>
      </c>
      <c r="E36" s="12" t="inlineStr">
        <is>
          <t>Sec 1.4, Sec 9.2 (M1) (p. 2, 10)</t>
        </is>
      </c>
      <c r="F36" s="12" t="inlineStr">
        <is>
          <t>Systems Engineering &amp; Configuration Management | Milestone 1 Deliverable (Baselined System Requirements Specification (SRS) milestone document freeze)</t>
        </is>
      </c>
      <c r="G36" s="12" t="inlineStr">
        <is>
          <t>N/A (Documentation / Milestone Deliverable)</t>
        </is>
      </c>
      <c r="H36" s="13" t="inlineStr">
        <is>
          <t>Inspection</t>
        </is>
      </c>
      <c r="I36" s="12" t="inlineStr">
        <is>
          <t>AC-D-1.1, AC-D-1.2, AC-D-1.3</t>
        </is>
      </c>
      <c r="J36" s="12" t="inlineStr">
        <is>
          <t>TBD (Test Case Not Yet Assigned / Pending Allocation)</t>
        </is>
      </c>
      <c r="K36" s="12" t="inlineStr">
        <is>
          <t>Planned: Signed SRS approval sign-off certificate, git baseline commit tag verification hash, and SERB review meeting minutes.; Execution Evidence: Not Available / Pending Test Execution (Milestone M1-M5)</t>
        </is>
      </c>
      <c r="L36" s="9" t="inlineStr">
        <is>
          <t>Pending</t>
        </is>
      </c>
      <c r="M36" s="10" t="inlineStr">
        <is>
          <t>Not Verified</t>
        </is>
      </c>
      <c r="N36" s="9" t="inlineStr">
        <is>
          <t>Partial (Pending Test Case &amp; Evidence)</t>
        </is>
      </c>
      <c r="O36" s="12" t="inlineStr">
        <is>
          <t>Pending Milestone 1 (M1-4) formal System Requirements Specification (SRS) baseline freeze sign-off.</t>
        </is>
      </c>
    </row>
    <row r="37" ht="45" customHeight="1">
      <c r="A37" s="5" t="inlineStr">
        <is>
          <t>REQ-D-002</t>
        </is>
      </c>
      <c r="B37" s="6" t="inlineStr">
        <is>
          <t>The engineering team shall maintain a configuration-controlled Project Scope Baseline document establishing system boundaries, functional decomposition, environmental constraints, and open scope decisions.</t>
        </is>
      </c>
      <c r="C37" s="17" t="inlineStr">
        <is>
          <t>Documentation</t>
        </is>
      </c>
      <c r="D37" s="6" t="inlineStr">
        <is>
          <t>P01_Project_Scope_Baseline.md</t>
        </is>
      </c>
      <c r="E37" s="6" t="inlineStr">
        <is>
          <t>DRAFT-D-002</t>
        </is>
      </c>
      <c r="F37" s="6" t="inlineStr">
        <is>
          <t>Systems Engineering &amp; Configuration Management | Deliverable P01 (Configuration-controlled Project Scope Baseline (P01_Project_Scope_Baseline.md))</t>
        </is>
      </c>
      <c r="G37" s="6" t="inlineStr">
        <is>
          <t>N/A (Documentation / Milestone Deliverable)</t>
        </is>
      </c>
      <c r="H37" s="8" t="inlineStr">
        <is>
          <t>Inspection</t>
        </is>
      </c>
      <c r="I37" s="6" t="inlineStr">
        <is>
          <t>AC-D-2.1, AC-D-2.2, AC-D-2.3</t>
        </is>
      </c>
      <c r="J37" s="6" t="inlineStr">
        <is>
          <t>TBD (Test Case Not Yet Assigned / Pending Allocation)</t>
        </is>
      </c>
      <c r="K37" s="6" t="inlineStr">
        <is>
          <t>Released Deliverable: P01_Project_Scope_Baseline.md (Baselined &amp; Verified by Inspection)</t>
        </is>
      </c>
      <c r="L37" s="18" t="inlineStr">
        <is>
          <t>Implemented</t>
        </is>
      </c>
      <c r="M37" s="18" t="inlineStr">
        <is>
          <t>Verified</t>
        </is>
      </c>
      <c r="N37" s="18" t="inlineStr">
        <is>
          <t>Fully Traceable</t>
        </is>
      </c>
      <c r="O37" s="6" t="inlineStr">
        <is>
          <t>None. Fully baselined and configuration-controlled under P01_Project_Scope_Baseline.md.</t>
        </is>
      </c>
    </row>
    <row r="38" ht="45" customHeight="1">
      <c r="A38" s="11" t="inlineStr">
        <is>
          <t>REQ-D-003</t>
        </is>
      </c>
      <c r="B38" s="12" t="inlineStr">
        <is>
          <t>The engineering team shall establish and maintain an auditable, uniquely numbered Requirements Register workbook categorizing functional, security, performance, safety, and documentation requirements.</t>
        </is>
      </c>
      <c r="C38" s="17" t="inlineStr">
        <is>
          <t>Documentation</t>
        </is>
      </c>
      <c r="D38" s="12" t="inlineStr">
        <is>
          <t>Task 1 Specifications / P02 Register</t>
        </is>
      </c>
      <c r="E38" s="12" t="inlineStr">
        <is>
          <t>Sec 1 (Requirements Baselining)</t>
        </is>
      </c>
      <c r="F38" s="12" t="inlineStr">
        <is>
          <t>Systems Engineering &amp; Configuration Management | Deliverable P03 (Configuration-controlled Numbered Requirements Register (P03_Numbered_Requirements_Register.xlsx))</t>
        </is>
      </c>
      <c r="G38" s="12" t="inlineStr">
        <is>
          <t>N/A (Documentation / Milestone Deliverable)</t>
        </is>
      </c>
      <c r="H38" s="13" t="inlineStr">
        <is>
          <t>Inspection</t>
        </is>
      </c>
      <c r="I38" s="12" t="inlineStr">
        <is>
          <t>AC-D-3.1, AC-D-3.2, AC-D-3.3, AC-D-3.4</t>
        </is>
      </c>
      <c r="J38" s="12" t="inlineStr">
        <is>
          <t>TBD (Test Case Not Yet Assigned / Pending Allocation)</t>
        </is>
      </c>
      <c r="K38" s="12" t="inlineStr">
        <is>
          <t>Released Deliverable: P03_Numbered_Requirements_Register.xlsx (Baselined &amp; Verified by Inspection)</t>
        </is>
      </c>
      <c r="L38" s="18" t="inlineStr">
        <is>
          <t>Implemented</t>
        </is>
      </c>
      <c r="M38" s="18" t="inlineStr">
        <is>
          <t>Verified</t>
        </is>
      </c>
      <c r="N38" s="18" t="inlineStr">
        <is>
          <t>Fully Traceable</t>
        </is>
      </c>
      <c r="O38" s="12" t="inlineStr">
        <is>
          <t>None. Fully baselined and configuration-controlled under P03_Numbered_Requirements_Register.xlsx.</t>
        </is>
      </c>
    </row>
    <row r="39" ht="45" customHeight="1">
      <c r="A39" s="5" t="inlineStr">
        <is>
          <t>REQ-D-004</t>
        </is>
      </c>
      <c r="B39" s="6" t="inlineStr">
        <is>
          <t>The engineering team shall establish and maintain lifecycle verification artifacts, requirement-to-test traceability matrices, and verification evidence complying with aerospace safety and validation standards.</t>
        </is>
      </c>
      <c r="C39" s="17" t="inlineStr">
        <is>
          <t>Documentation</t>
        </is>
      </c>
      <c r="D39" s="6" t="inlineStr">
        <is>
          <t>REA-T1-OVERVIEW-2026-V1.0</t>
        </is>
      </c>
      <c r="E39" s="6" t="inlineStr">
        <is>
          <t>Sec 4, Sec 10.2 (p. 5, 11)</t>
        </is>
      </c>
      <c r="F39" s="6" t="inlineStr">
        <is>
          <t>Systems Engineering &amp; Quality Governance | Deliverable P09 (Safety Lifecycle Compliance Dossier &amp; Requirements Traceability Matrix (P09_Requirements_Traceability_Matrix.xlsx))</t>
        </is>
      </c>
      <c r="G39" s="6" t="inlineStr">
        <is>
          <t>N/A (Documentation / Milestone Deliverable)</t>
        </is>
      </c>
      <c r="H39" s="8" t="inlineStr">
        <is>
          <t>Inspection</t>
        </is>
      </c>
      <c r="I39" s="6" t="inlineStr">
        <is>
          <t>AC-D-4.1, AC-D-4.2, AC-D-4.3</t>
        </is>
      </c>
      <c r="J39" s="6" t="inlineStr">
        <is>
          <t>TBD (Test Case Not Yet Assigned / Pending Allocation)</t>
        </is>
      </c>
      <c r="K39" s="6" t="inlineStr">
        <is>
          <t>Released Deliverable: P09_Requirements_Traceability_Matrix.xlsx (Baselined &amp; Verified by Inspection)</t>
        </is>
      </c>
      <c r="L39" s="18" t="inlineStr">
        <is>
          <t>Implemented</t>
        </is>
      </c>
      <c r="M39" s="18" t="inlineStr">
        <is>
          <t>Verified</t>
        </is>
      </c>
      <c r="N39" s="18" t="inlineStr">
        <is>
          <t>Fully Traceable</t>
        </is>
      </c>
      <c r="O39" s="6" t="inlineStr">
        <is>
          <t>None. Fully baselined and configuration-controlled under P09_Requirements_Traceability_Matrix.xlsx.</t>
        </is>
      </c>
    </row>
    <row r="40" ht="45" customHeight="1">
      <c r="A40" s="11" t="inlineStr">
        <is>
          <t>REQ-D-005</t>
        </is>
      </c>
      <c r="B40" s="12" t="inlineStr">
        <is>
          <t>The engineering team shall compile formal test reports, 48-hour bus collision audit logs, power audits, and sub-zero thermal profiling reports down to -20°C for all integrated benchtop HIL avionics during Milestone 2.</t>
        </is>
      </c>
      <c r="C40" s="17" t="inlineStr">
        <is>
          <t>Documentation</t>
        </is>
      </c>
      <c r="D40" s="12" t="inlineStr">
        <is>
          <t>REA-T1-OVERVIEW-2026-V1.0</t>
        </is>
      </c>
      <c r="E40" s="12" t="inlineStr">
        <is>
          <t>Sec 9.2 (M2), Sec 10 (Tier 4, Tier 5) (p. 10, 11)</t>
        </is>
      </c>
      <c r="F40" s="12" t="inlineStr">
        <is>
          <t>Test Engineering &amp; Systems Integration | Milestone 2 Deliverable (Hardware-in-the-Loop benchtop integration reports &amp; -20°C environmental thermal profiling logs)</t>
        </is>
      </c>
      <c r="G40" s="12" t="inlineStr">
        <is>
          <t>N/A (Documentation / Milestone Deliverable)</t>
        </is>
      </c>
      <c r="H40" s="13" t="inlineStr">
        <is>
          <t>Inspection</t>
        </is>
      </c>
      <c r="I40" s="12" t="inlineStr">
        <is>
          <t>AC-D-5.1, AC-D-5.2, AC-D-5.3</t>
        </is>
      </c>
      <c r="J40" s="12" t="inlineStr">
        <is>
          <t>TBD (Test Case Not Yet Assigned / Pending Allocation)</t>
        </is>
      </c>
      <c r="K40" s="12" t="inlineStr">
        <is>
          <t>Planned: Formally approved Milestone 2 HIL Test Report package and raw testbed instrument log archives.; Execution Evidence: Not Available / Pending Test Execution (Milestone M1-M5)</t>
        </is>
      </c>
      <c r="L40" s="9" t="inlineStr">
        <is>
          <t>Pending</t>
        </is>
      </c>
      <c r="M40" s="10" t="inlineStr">
        <is>
          <t>Not Verified</t>
        </is>
      </c>
      <c r="N40" s="9" t="inlineStr">
        <is>
          <t>Partial (Pending Test Case &amp; Evidence)</t>
        </is>
      </c>
      <c r="O40" s="12" t="inlineStr">
        <is>
          <t>Pending Milestone 2 (M5-8) HIL integration test execution and environmental chamber thermal reports.</t>
        </is>
      </c>
    </row>
    <row r="41" ht="45" customHeight="1">
      <c r="A41" s="5" t="inlineStr">
        <is>
          <t>REQ-D-006</t>
        </is>
      </c>
      <c r="B41" s="6" t="inlineStr">
        <is>
          <t>The project team shall compile comprehensive defense qualification dossiers, safety registers, failure mode analyses, and manufacturing documentation packages prior to Milestone 5 pre-induction field trials.</t>
        </is>
      </c>
      <c r="C41" s="17" t="inlineStr">
        <is>
          <t>Documentation</t>
        </is>
      </c>
      <c r="D41" s="6" t="inlineStr">
        <is>
          <t>REA-T1-OVERVIEW-2026-V1.0</t>
        </is>
      </c>
      <c r="E41" s="6" t="inlineStr">
        <is>
          <t>Sec 9.2 (M5), Sec 10 (Tier 10) (p. 10, 11)</t>
        </is>
      </c>
      <c r="F41" s="6" t="inlineStr">
        <is>
          <t>Systems Engineering &amp; Defense Certification | Milestone 5 Deliverable (Comprehensive iDEX defense qualification trial dossiers &amp; pre-induction safety compliance registers)</t>
        </is>
      </c>
      <c r="G41" s="6" t="inlineStr">
        <is>
          <t>N/A (Documentation / Milestone Deliverable)</t>
        </is>
      </c>
      <c r="H41" s="8" t="inlineStr">
        <is>
          <t>Inspection</t>
        </is>
      </c>
      <c r="I41" s="6" t="inlineStr">
        <is>
          <t>AC-D-6.1, AC-D-6.2, AC-D-6.3</t>
        </is>
      </c>
      <c r="J41" s="6" t="inlineStr">
        <is>
          <t>TBD (Test Case Not Yet Assigned / Pending Allocation)</t>
        </is>
      </c>
      <c r="K41" s="6" t="inlineStr">
        <is>
          <t>Planned: Signed Defense Qualification Dossier submission certificate, MoD evaluation acknowledgment, and manufacturing data package.; Execution Evidence: Not Available / Pending Test Execution (Milestone M1-M5)</t>
        </is>
      </c>
      <c r="L41" s="9" t="inlineStr">
        <is>
          <t>Pending</t>
        </is>
      </c>
      <c r="M41" s="10" t="inlineStr">
        <is>
          <t>Not Verified</t>
        </is>
      </c>
      <c r="N41" s="9" t="inlineStr">
        <is>
          <t>Partial (Pending Test Case &amp; Evidence)</t>
        </is>
      </c>
      <c r="O41" s="6" t="inlineStr">
        <is>
          <t>Pending Milestone 5 (M17-18) Pre-Induction flight trials and MoD evaluation dossier compilation.</t>
        </is>
      </c>
    </row>
  </sheetData>
  <autoFilter ref="A4:O41"/>
  <mergeCells count="3">
    <mergeCell ref="A1:O1"/>
    <mergeCell ref="A3:O3"/>
    <mergeCell ref="A2:O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1"/>
  <sheetViews>
    <sheetView showGridLines="1" workbookViewId="0">
      <pane ySplit="4" topLeftCell="A5" activePane="bottomLeft" state="frozen"/>
      <selection pane="bottomLeft" activeCell="A1" sqref="A1"/>
    </sheetView>
  </sheetViews>
  <sheetFormatPr baseColWidth="8" defaultRowHeight="15"/>
  <cols>
    <col width="16" customWidth="1" min="1" max="1"/>
    <col width="16" customWidth="1" min="2" max="2"/>
    <col width="34" customWidth="1" min="3" max="3"/>
    <col width="16" customWidth="1" min="4" max="4"/>
    <col width="16" customWidth="1" min="5" max="5"/>
    <col width="25" customWidth="1" min="6" max="6"/>
    <col width="35" customWidth="1" min="7" max="7"/>
    <col width="25" customWidth="1" min="8" max="8"/>
    <col width="22" customWidth="1" min="9" max="9"/>
    <col width="18" customWidth="1" min="10" max="10"/>
    <col width="38" customWidth="1" min="11" max="11"/>
    <col width="28" customWidth="1" min="12" max="12"/>
  </cols>
  <sheetData>
    <row r="1">
      <c r="A1" s="1" t="inlineStr">
        <is>
          <t>RUDRAEDGE RE-T1 (SPECTRA) — ID TRACEABILITY MATRIX</t>
        </is>
      </c>
    </row>
    <row r="2">
      <c r="A2" s="2" t="inlineStr">
        <is>
          <t>Bidirectional Identifier Lineage: P02 Preliminary Drafts → P03 Numbered Baseline → Subsystem Modules &amp; Acceptance Criteria</t>
        </is>
      </c>
    </row>
    <row r="3">
      <c r="A3" s="3" t="inlineStr">
        <is>
          <t>Configuration Control: Single Source of Truth Alignment | Document ID: REA-T1-IDTM-2026-V1.0 | Evaluation Standard: iDEX / DIO / MoD</t>
        </is>
      </c>
    </row>
    <row r="4" ht="28" customHeight="1">
      <c r="A4" s="4" t="inlineStr">
        <is>
          <t>Current Requirement ID</t>
        </is>
      </c>
      <c r="B4" s="4" t="inlineStr">
        <is>
          <t>Previous Draft ID (P02)</t>
        </is>
      </c>
      <c r="C4" s="4" t="inlineStr">
        <is>
          <t>Requirement Title</t>
        </is>
      </c>
      <c r="D4" s="4" t="inlineStr">
        <is>
          <t>Original Category (P02)</t>
        </is>
      </c>
      <c r="E4" s="4" t="inlineStr">
        <is>
          <t>Current Category (P03)</t>
        </is>
      </c>
      <c r="F4" s="4" t="inlineStr">
        <is>
          <t>PECLF Architecture Layer</t>
        </is>
      </c>
      <c r="G4" s="4" t="inlineStr">
        <is>
          <t>Associated Subsystem / Module ID</t>
        </is>
      </c>
      <c r="H4" s="4" t="inlineStr">
        <is>
          <t>Related Interface ID(s)</t>
        </is>
      </c>
      <c r="I4" s="4" t="inlineStr">
        <is>
          <t>Acceptance Criteria Reference</t>
        </is>
      </c>
      <c r="J4" s="4" t="inlineStr">
        <is>
          <t>Verification Method</t>
        </is>
      </c>
      <c r="K4" s="4" t="inlineStr">
        <is>
          <t>Mapping Rationale &amp; Configuration Notes</t>
        </is>
      </c>
      <c r="L4" s="4" t="inlineStr">
        <is>
          <t>Traceability Lineage Status</t>
        </is>
      </c>
    </row>
    <row r="5" ht="36" customHeight="1">
      <c r="A5" s="5" t="inlineStr">
        <is>
          <t>REQ-F-001</t>
        </is>
      </c>
      <c r="B5" s="5" t="inlineStr">
        <is>
          <t>DRAFT-F-001</t>
        </is>
      </c>
      <c r="C5" s="6" t="inlineStr">
        <is>
          <t>Multi-Spectral EO/IR Video Ingress &amp; Synchronization</t>
        </is>
      </c>
      <c r="D5" s="8" t="inlineStr">
        <is>
          <t>Functional</t>
        </is>
      </c>
      <c r="E5" s="19" t="inlineStr">
        <is>
          <t>Functional</t>
        </is>
      </c>
      <c r="F5" s="6" t="inlineStr">
        <is>
          <t>Layer A: Physical Perception</t>
        </is>
      </c>
      <c r="G5" s="6" t="inlineStr">
        <is>
          <t>MOD-02: Stabilized Multi-Spectral Perception (EO-IR-GIMBAL)</t>
        </is>
      </c>
      <c r="H5" s="6" t="inlineStr">
        <is>
          <t>IF-001, IF-002, IF-015, IF-016</t>
        </is>
      </c>
      <c r="I5" s="6" t="inlineStr">
        <is>
          <t>AC-1.1, AC-1.2, AC-1.3</t>
        </is>
      </c>
      <c r="J5" s="8" t="inlineStr">
        <is>
          <t>Demonstration</t>
        </is>
      </c>
      <c r="K5" s="6" t="inlineStr">
        <is>
          <t>Direct 1-to-1 baseline mapping with updated stable sequential identifier.</t>
        </is>
      </c>
      <c r="L5" s="18" t="inlineStr">
        <is>
          <t>Baselined &amp; Mapped (Forward &amp; Backward)</t>
        </is>
      </c>
    </row>
    <row r="6" ht="36" customHeight="1">
      <c r="A6" s="11" t="inlineStr">
        <is>
          <t>REQ-F-002</t>
        </is>
      </c>
      <c r="B6" s="11" t="inlineStr">
        <is>
          <t>DRAFT-F-002</t>
        </is>
      </c>
      <c r="C6" s="12" t="inlineStr">
        <is>
          <t>Subsurface Micro-GPR Raw Data Ingress &amp; Buffering</t>
        </is>
      </c>
      <c r="D6" s="13" t="inlineStr">
        <is>
          <t>Functional</t>
        </is>
      </c>
      <c r="E6" s="19" t="inlineStr">
        <is>
          <t>Functional</t>
        </is>
      </c>
      <c r="F6" s="12" t="inlineStr">
        <is>
          <t>Layer A: Physical Perception</t>
        </is>
      </c>
      <c r="G6" s="12" t="inlineStr">
        <is>
          <t>MOD-11: Subsurface Radar &amp; CBRN Sensing Ingress (GPR-CBRN-INGRESS) / MOD-13</t>
        </is>
      </c>
      <c r="H6" s="12" t="inlineStr">
        <is>
          <t>IF-014, IF-016</t>
        </is>
      </c>
      <c r="I6" s="12" t="inlineStr">
        <is>
          <t>AC-2.1, AC-2.2, AC-2.3</t>
        </is>
      </c>
      <c r="J6" s="13" t="inlineStr">
        <is>
          <t>Test</t>
        </is>
      </c>
      <c r="K6" s="12" t="inlineStr">
        <is>
          <t>Direct 1-to-1 baseline mapping with updated stable sequential identifier.</t>
        </is>
      </c>
      <c r="L6" s="18" t="inlineStr">
        <is>
          <t>Baselined &amp; Mapped (Forward &amp; Backward)</t>
        </is>
      </c>
    </row>
    <row r="7" ht="36" customHeight="1">
      <c r="A7" s="5" t="inlineStr">
        <is>
          <t>REQ-F-003</t>
        </is>
      </c>
      <c r="B7" s="5" t="inlineStr">
        <is>
          <t>DRAFT-F-003</t>
        </is>
      </c>
      <c r="C7" s="6" t="inlineStr">
        <is>
          <t>4-Channel Acoustic Array Ingress &amp; TDoA Bearing Estimation</t>
        </is>
      </c>
      <c r="D7" s="8" t="inlineStr">
        <is>
          <t>Functional</t>
        </is>
      </c>
      <c r="E7" s="19" t="inlineStr">
        <is>
          <t>Functional</t>
        </is>
      </c>
      <c r="F7" s="6" t="inlineStr">
        <is>
          <t>Layer D &amp; Layer A</t>
        </is>
      </c>
      <c r="G7" s="6" t="inlineStr">
        <is>
          <t>MOD-04: Electromagnetic Sensing &amp; Acoustic Tracking (EW-DSP) / MOD-14</t>
        </is>
      </c>
      <c r="H7" s="6" t="inlineStr">
        <is>
          <t>IF-012, IF-013</t>
        </is>
      </c>
      <c r="I7" s="6" t="inlineStr">
        <is>
          <t>AC-3.1, AC-3.2, AC-3.3, AC-3.4</t>
        </is>
      </c>
      <c r="J7" s="8" t="inlineStr">
        <is>
          <t>Demonstration</t>
        </is>
      </c>
      <c r="K7" s="6" t="inlineStr">
        <is>
          <t>Direct 1-to-1 baseline mapping with updated stable sequential identifier.</t>
        </is>
      </c>
      <c r="L7" s="18" t="inlineStr">
        <is>
          <t>Baselined &amp; Mapped (Forward &amp; Backward)</t>
        </is>
      </c>
    </row>
    <row r="8" ht="36" customHeight="1">
      <c r="A8" s="11" t="inlineStr">
        <is>
          <t>REQ-F-004</t>
        </is>
      </c>
      <c r="B8" s="11" t="inlineStr">
        <is>
          <t>DRAFT-F-004</t>
        </is>
      </c>
      <c r="C8" s="12" t="inlineStr">
        <is>
          <t>GNSS-Denied Multi-Sensor VIO State Estimation</t>
        </is>
      </c>
      <c r="D8" s="13" t="inlineStr">
        <is>
          <t>Functional</t>
        </is>
      </c>
      <c r="E8" s="19" t="inlineStr">
        <is>
          <t>Functional</t>
        </is>
      </c>
      <c r="F8" s="12" t="inlineStr">
        <is>
          <t>Layer B: Navigation &amp; Autonomy</t>
        </is>
      </c>
      <c r="G8" s="12" t="inlineStr">
        <is>
          <t>MOD-01: GNSS-Denied Localization &amp; Navigation (VIO-NAV)</t>
        </is>
      </c>
      <c r="H8" s="12" t="inlineStr">
        <is>
          <t>IF-002, IF-003, IF-004, IF-005</t>
        </is>
      </c>
      <c r="I8" s="12" t="inlineStr">
        <is>
          <t>AC-4.1, AC-4.2, AC-4.3, AC-4.4</t>
        </is>
      </c>
      <c r="J8" s="13" t="inlineStr">
        <is>
          <t>Test</t>
        </is>
      </c>
      <c r="K8" s="12" t="inlineStr">
        <is>
          <t>Direct 1-to-1 baseline mapping with updated stable sequential identifier.</t>
        </is>
      </c>
      <c r="L8" s="18" t="inlineStr">
        <is>
          <t>Baselined &amp; Mapped (Forward &amp; Backward)</t>
        </is>
      </c>
    </row>
    <row r="9" ht="36" customHeight="1">
      <c r="A9" s="5" t="inlineStr">
        <is>
          <t>REQ-F-005</t>
        </is>
      </c>
      <c r="B9" s="5" t="inlineStr">
        <is>
          <t>DRAFT-F-005</t>
        </is>
      </c>
      <c r="C9" s="6" t="inlineStr">
        <is>
          <t>Dual-Redundant Autopilot Attitude Control &amp; Waypoint Navigation</t>
        </is>
      </c>
      <c r="D9" s="8" t="inlineStr">
        <is>
          <t>Functional</t>
        </is>
      </c>
      <c r="E9" s="19" t="inlineStr">
        <is>
          <t>Functional</t>
        </is>
      </c>
      <c r="F9" s="6" t="inlineStr">
        <is>
          <t>Layer B: Navigation &amp; Autonomy</t>
        </is>
      </c>
      <c r="G9" s="6" t="inlineStr">
        <is>
          <t>MOD-07: Autopilot Flight Control Stack (PX4-AUTOPILOT) &amp; MOD-08</t>
        </is>
      </c>
      <c r="H9" s="6" t="inlineStr">
        <is>
          <t>IF-005, IF-006, IF-008, IF-009, IF-010</t>
        </is>
      </c>
      <c r="I9" s="6" t="inlineStr">
        <is>
          <t>AC-5.1, AC-5.2, AC-5.3, AC-5.4</t>
        </is>
      </c>
      <c r="J9" s="8" t="inlineStr">
        <is>
          <t>Demonstration</t>
        </is>
      </c>
      <c r="K9" s="6" t="inlineStr">
        <is>
          <t>Direct 1-to-1 baseline mapping with updated stable sequential identifier.</t>
        </is>
      </c>
      <c r="L9" s="18" t="inlineStr">
        <is>
          <t>Baselined &amp; Mapped (Forward &amp; Backward)</t>
        </is>
      </c>
    </row>
    <row r="10" ht="36" customHeight="1">
      <c r="A10" s="11" t="inlineStr">
        <is>
          <t>REQ-F-006</t>
        </is>
      </c>
      <c r="B10" s="11" t="inlineStr">
        <is>
          <t>DRAFT-F-006</t>
        </is>
      </c>
      <c r="C10" s="12" t="inlineStr">
        <is>
          <t>Onboard Real-Time Neural Object Detection &amp; Bounding Box Generation</t>
        </is>
      </c>
      <c r="D10" s="13" t="inlineStr">
        <is>
          <t>Functional</t>
        </is>
      </c>
      <c r="E10" s="19" t="inlineStr">
        <is>
          <t>Functional</t>
        </is>
      </c>
      <c r="F10" s="12" t="inlineStr">
        <is>
          <t>Layer F: Mission Intelligence &amp; AI</t>
        </is>
      </c>
      <c r="G10" s="12" t="inlineStr">
        <is>
          <t>MOD-03: Heterogeneous Edge Intelligence Engine (EDGE-AI)</t>
        </is>
      </c>
      <c r="H10" s="12" t="inlineStr">
        <is>
          <t>IF-017</t>
        </is>
      </c>
      <c r="I10" s="12" t="inlineStr">
        <is>
          <t>AC-6.1, AC-6.2, AC-6.3</t>
        </is>
      </c>
      <c r="J10" s="13" t="inlineStr">
        <is>
          <t>Demonstration</t>
        </is>
      </c>
      <c r="K10" s="12" t="inlineStr">
        <is>
          <t>Direct 1-to-1 baseline mapping with updated stable sequential identifier.</t>
        </is>
      </c>
      <c r="L10" s="18" t="inlineStr">
        <is>
          <t>Baselined &amp; Mapped (Forward &amp; Backward)</t>
        </is>
      </c>
    </row>
    <row r="11" ht="36" customHeight="1">
      <c r="A11" s="5" t="inlineStr">
        <is>
          <t>REQ-F-007</t>
        </is>
      </c>
      <c r="B11" s="5" t="inlineStr">
        <is>
          <t>DRAFT-F-007</t>
        </is>
      </c>
      <c r="C11" s="6" t="inlineStr">
        <is>
          <t>Vision Transformer Pixel-Level Semantic Terrain Segmentation</t>
        </is>
      </c>
      <c r="D11" s="8" t="inlineStr">
        <is>
          <t>Functional</t>
        </is>
      </c>
      <c r="E11" s="19" t="inlineStr">
        <is>
          <t>Functional</t>
        </is>
      </c>
      <c r="F11" s="6" t="inlineStr">
        <is>
          <t>Layer F: Mission Intelligence &amp; AI</t>
        </is>
      </c>
      <c r="G11" s="6" t="inlineStr">
        <is>
          <t>MOD-03: Heterogeneous Edge Intelligence Engine (EDGE-AI)</t>
        </is>
      </c>
      <c r="H11" s="6" t="inlineStr">
        <is>
          <t>IF-017</t>
        </is>
      </c>
      <c r="I11" s="6" t="inlineStr">
        <is>
          <t>AC-7.1, AC-7.2, AC-7.3</t>
        </is>
      </c>
      <c r="J11" s="8" t="inlineStr">
        <is>
          <t>Demonstration</t>
        </is>
      </c>
      <c r="K11" s="6" t="inlineStr">
        <is>
          <t>Direct 1-to-1 baseline mapping with updated stable sequential identifier.</t>
        </is>
      </c>
      <c r="L11" s="18" t="inlineStr">
        <is>
          <t>Baselined &amp; Mapped (Forward &amp; Backward)</t>
        </is>
      </c>
    </row>
    <row r="12" ht="36" customHeight="1">
      <c r="A12" s="11" t="inlineStr">
        <is>
          <t>REQ-F-008</t>
        </is>
      </c>
      <c r="B12" s="11" t="inlineStr">
        <is>
          <t>DRAFT-F-008</t>
        </is>
      </c>
      <c r="C12" s="12" t="inlineStr">
        <is>
          <t>Temporal Visual Change Detection &amp; Ground Disturbance Flagging</t>
        </is>
      </c>
      <c r="D12" s="13" t="inlineStr">
        <is>
          <t>Functional</t>
        </is>
      </c>
      <c r="E12" s="19" t="inlineStr">
        <is>
          <t>Functional</t>
        </is>
      </c>
      <c r="F12" s="12" t="inlineStr">
        <is>
          <t>Layer F: Mission Intelligence &amp; AI</t>
        </is>
      </c>
      <c r="G12" s="12" t="inlineStr">
        <is>
          <t>MOD-03: Heterogeneous Edge Intelligence Engine (EDGE-AI)</t>
        </is>
      </c>
      <c r="H12" s="12" t="inlineStr">
        <is>
          <t>IF-017</t>
        </is>
      </c>
      <c r="I12" s="12" t="inlineStr">
        <is>
          <t>AC-8.1, AC-8.2, AC-8.3, AC-8.4</t>
        </is>
      </c>
      <c r="J12" s="13" t="inlineStr">
        <is>
          <t>Demonstration</t>
        </is>
      </c>
      <c r="K12" s="12" t="inlineStr">
        <is>
          <t>Direct 1-to-1 baseline mapping with updated stable sequential identifier.</t>
        </is>
      </c>
      <c r="L12" s="18" t="inlineStr">
        <is>
          <t>Baselined &amp; Mapped (Forward &amp; Backward)</t>
        </is>
      </c>
    </row>
    <row r="13" ht="36" customHeight="1">
      <c r="A13" s="5" t="inlineStr">
        <is>
          <t>REQ-F-009</t>
        </is>
      </c>
      <c r="B13" s="5" t="inlineStr">
        <is>
          <t>DRAFT-F-009</t>
        </is>
      </c>
      <c r="C13" s="6" t="inlineStr">
        <is>
          <t>Software-Defined Radio Wideband Spectrum Ingress &amp; RF Mapping</t>
        </is>
      </c>
      <c r="D13" s="8" t="inlineStr">
        <is>
          <t>Functional</t>
        </is>
      </c>
      <c r="E13" s="19" t="inlineStr">
        <is>
          <t>Functional</t>
        </is>
      </c>
      <c r="F13" s="6" t="inlineStr">
        <is>
          <t>Layer D: Electromagnetic Awareness</t>
        </is>
      </c>
      <c r="G13" s="6" t="inlineStr">
        <is>
          <t>MOD-04: Electromagnetic Sensing &amp; Acoustic Tracking (EW-DSP) &amp; MOD-10</t>
        </is>
      </c>
      <c r="H13" s="6" t="inlineStr">
        <is>
          <t>IF-011, IF-013</t>
        </is>
      </c>
      <c r="I13" s="6" t="inlineStr">
        <is>
          <t>AC-9.1, AC-9.2, AC-9.3, AC-9.4</t>
        </is>
      </c>
      <c r="J13" s="8" t="inlineStr">
        <is>
          <t>Demonstration</t>
        </is>
      </c>
      <c r="K13" s="6" t="inlineStr">
        <is>
          <t>Direct 1-to-1 baseline mapping with updated stable sequential identifier.</t>
        </is>
      </c>
      <c r="L13" s="18" t="inlineStr">
        <is>
          <t>Baselined &amp; Mapped (Forward &amp; Backward)</t>
        </is>
      </c>
    </row>
    <row r="14" ht="36" customHeight="1">
      <c r="A14" s="11" t="inlineStr">
        <is>
          <t>REQ-F-010</t>
        </is>
      </c>
      <c r="B14" s="11" t="inlineStr">
        <is>
          <t>DRAFT-F-010</t>
        </is>
      </c>
      <c r="C14" s="12" t="inlineStr">
        <is>
          <t>Free-Space Optical (FSO) Directional Laser Telemetry Transmission</t>
        </is>
      </c>
      <c r="D14" s="13" t="inlineStr">
        <is>
          <t>Functional</t>
        </is>
      </c>
      <c r="E14" s="19" t="inlineStr">
        <is>
          <t>Functional</t>
        </is>
      </c>
      <c r="F14" s="12" t="inlineStr">
        <is>
          <t>Layer E: Secure Communications</t>
        </is>
      </c>
      <c r="G14" s="12" t="inlineStr">
        <is>
          <t>MOD-05: Secure Free-Space Optical Transceiver (FSO-COMM)</t>
        </is>
      </c>
      <c r="H14" s="12" t="inlineStr">
        <is>
          <t>IF-018, IF-019, IF-021</t>
        </is>
      </c>
      <c r="I14" s="12" t="inlineStr">
        <is>
          <t>AC-10.1, AC-10.2, AC-10.3, AC-10.4</t>
        </is>
      </c>
      <c r="J14" s="13" t="inlineStr">
        <is>
          <t>Demonstration</t>
        </is>
      </c>
      <c r="K14" s="12" t="inlineStr">
        <is>
          <t>Direct 1-to-1 baseline mapping with updated stable sequential identifier.</t>
        </is>
      </c>
      <c r="L14" s="18" t="inlineStr">
        <is>
          <t>Baselined &amp; Mapped (Forward &amp; Backward)</t>
        </is>
      </c>
    </row>
    <row r="15" ht="36" customHeight="1">
      <c r="A15" s="5" t="inlineStr">
        <is>
          <t>REQ-F-011</t>
        </is>
      </c>
      <c r="B15" s="5" t="inlineStr">
        <is>
          <t>DRAFT-F-011</t>
        </is>
      </c>
      <c r="C15" s="6" t="inlineStr">
        <is>
          <t>Closed-Loop Coarse-Fine FSO Laser Pointing, Acquisition &amp; Tracking</t>
        </is>
      </c>
      <c r="D15" s="8" t="inlineStr">
        <is>
          <t>Functional</t>
        </is>
      </c>
      <c r="E15" s="19" t="inlineStr">
        <is>
          <t>Functional</t>
        </is>
      </c>
      <c r="F15" s="6" t="inlineStr">
        <is>
          <t>Layer E: Secure Communications (GNC)</t>
        </is>
      </c>
      <c r="G15" s="6" t="inlineStr">
        <is>
          <t>MOD-09: FSO Pointing, Acquisition &amp; Tracking Controller (FSO-PAT)</t>
        </is>
      </c>
      <c r="H15" s="6" t="inlineStr">
        <is>
          <t>IF-007, IF-019, IF-020</t>
        </is>
      </c>
      <c r="I15" s="6" t="inlineStr">
        <is>
          <t>AC-11.1, AC-11.2, AC-11.3, AC-11.4</t>
        </is>
      </c>
      <c r="J15" s="8" t="inlineStr">
        <is>
          <t>Test</t>
        </is>
      </c>
      <c r="K15" s="6" t="inlineStr">
        <is>
          <t>Direct 1-to-1 baseline mapping with updated stable sequential identifier.</t>
        </is>
      </c>
      <c r="L15" s="18" t="inlineStr">
        <is>
          <t>Baselined &amp; Mapped (Forward &amp; Backward)</t>
        </is>
      </c>
    </row>
    <row r="16" ht="36" customHeight="1">
      <c r="A16" s="11" t="inlineStr">
        <is>
          <t>REQ-F-012</t>
        </is>
      </c>
      <c r="B16" s="11" t="inlineStr">
        <is>
          <t>DRAFT-F-012</t>
        </is>
      </c>
      <c r="C16" s="12" t="inlineStr">
        <is>
          <t>Encrypted Frequency-Hopping SDR RF Telemetry Fallback</t>
        </is>
      </c>
      <c r="D16" s="13" t="inlineStr">
        <is>
          <t>Functional</t>
        </is>
      </c>
      <c r="E16" s="19" t="inlineStr">
        <is>
          <t>Functional</t>
        </is>
      </c>
      <c r="F16" s="12" t="inlineStr">
        <is>
          <t>Layer E: Secure Communications (Secondary RF)</t>
        </is>
      </c>
      <c r="G16" s="12" t="inlineStr">
        <is>
          <t>MOD-10: Encrypted Frequency-Hopping RF Transceiver (SDR-RF-COMM)</t>
        </is>
      </c>
      <c r="H16" s="12" t="inlineStr">
        <is>
          <t>IF-021, IF-022</t>
        </is>
      </c>
      <c r="I16" s="12" t="inlineStr">
        <is>
          <t>AC-12.1, AC-12.2, AC-12.3, AC-12.4</t>
        </is>
      </c>
      <c r="J16" s="13" t="inlineStr">
        <is>
          <t>Demonstration</t>
        </is>
      </c>
      <c r="K16" s="12" t="inlineStr">
        <is>
          <t>Direct 1-to-1 baseline mapping with updated stable sequential identifier.</t>
        </is>
      </c>
      <c r="L16" s="18" t="inlineStr">
        <is>
          <t>Baselined &amp; Mapped (Forward &amp; Backward)</t>
        </is>
      </c>
    </row>
    <row r="17" ht="36" customHeight="1">
      <c r="A17" s="5" t="inlineStr">
        <is>
          <t>REQ-F-013</t>
        </is>
      </c>
      <c r="B17" s="5" t="inlineStr">
        <is>
          <t>DRAFT-F-013</t>
        </is>
      </c>
      <c r="C17" s="6" t="inlineStr">
        <is>
          <t>Wind-Compensated Ballistic Release &amp; Payload Delivery Actuation</t>
        </is>
      </c>
      <c r="D17" s="8" t="inlineStr">
        <is>
          <t>Functional</t>
        </is>
      </c>
      <c r="E17" s="19" t="inlineStr">
        <is>
          <t>Functional</t>
        </is>
      </c>
      <c r="F17" s="6" t="inlineStr">
        <is>
          <t>Layer G: Authorized Effectors &amp; Payloads</t>
        </is>
      </c>
      <c r="G17" s="6" t="inlineStr">
        <is>
          <t>MOD-06: Mission Payload &amp; Wind-Compensated Release (PAYLOAD-POD)</t>
        </is>
      </c>
      <c r="H17" s="6" t="inlineStr">
        <is>
          <t>IF-023, IF-024</t>
        </is>
      </c>
      <c r="I17" s="6" t="inlineStr">
        <is>
          <t>AC-13.1, AC-13.2, AC-13.3, AC-13.4</t>
        </is>
      </c>
      <c r="J17" s="8" t="inlineStr">
        <is>
          <t>Demonstration</t>
        </is>
      </c>
      <c r="K17" s="6" t="inlineStr">
        <is>
          <t>Direct 1-to-1 baseline mapping with updated stable sequential identifier.</t>
        </is>
      </c>
      <c r="L17" s="18" t="inlineStr">
        <is>
          <t>Baselined &amp; Mapped (Forward &amp; Backward)</t>
        </is>
      </c>
    </row>
    <row r="18" ht="36" customHeight="1">
      <c r="A18" s="11" t="inlineStr">
        <is>
          <t>REQ-SEC-001</t>
        </is>
      </c>
      <c r="B18" s="11" t="inlineStr">
        <is>
          <t>DRAFT-F-014</t>
        </is>
      </c>
      <c r="C18" s="12" t="inlineStr">
        <is>
          <t>Cryptographic Hardware Root of Trust &amp; Multi-Stage Secure Boot</t>
        </is>
      </c>
      <c r="D18" s="13" t="inlineStr">
        <is>
          <t>Functional</t>
        </is>
      </c>
      <c r="E18" s="20" t="inlineStr">
        <is>
          <t>Security</t>
        </is>
      </c>
      <c r="F18" s="12" t="inlineStr">
        <is>
          <t>Layer H: Cybersecurity &amp; Data Sovereignty</t>
        </is>
      </c>
      <c r="G18" s="12" t="inlineStr">
        <is>
          <t>MOD-12: Cybersecurity &amp; Hardware Root-of-Trust Service (SEC-TRUST)</t>
        </is>
      </c>
      <c r="H18" s="12" t="inlineStr">
        <is>
          <t>IF-004, IF-025</t>
        </is>
      </c>
      <c r="I18" s="12" t="inlineStr">
        <is>
          <t>AC-SEC-1.1, AC-SEC-1.2, AC-SEC-1.3, AC-SEC-1.4</t>
        </is>
      </c>
      <c r="J18" s="13" t="inlineStr">
        <is>
          <t>Test</t>
        </is>
      </c>
      <c r="K18" s="12" t="inlineStr">
        <is>
          <t>Reclassified from Functional to dedicated Security category per Task 1 Section 3 ID categories convention.</t>
        </is>
      </c>
      <c r="L18" s="18" t="inlineStr">
        <is>
          <t>Baselined &amp; Mapped (Forward &amp; Backward)</t>
        </is>
      </c>
    </row>
    <row r="19" ht="36" customHeight="1">
      <c r="A19" s="5" t="inlineStr">
        <is>
          <t>REQ-SEC-002</t>
        </is>
      </c>
      <c r="B19" s="5" t="inlineStr">
        <is>
          <t>DRAFT-F-015</t>
        </is>
      </c>
      <c r="C19" s="6" t="inlineStr">
        <is>
          <t>Hardware-Enforced Zero-Trace Memory Sanitization &amp; Anti-Tamper Wipe</t>
        </is>
      </c>
      <c r="D19" s="8" t="inlineStr">
        <is>
          <t>Functional</t>
        </is>
      </c>
      <c r="E19" s="20" t="inlineStr">
        <is>
          <t>Security</t>
        </is>
      </c>
      <c r="F19" s="6" t="inlineStr">
        <is>
          <t>Layer H: Cybersecurity &amp; Data Sovereignty</t>
        </is>
      </c>
      <c r="G19" s="6" t="inlineStr">
        <is>
          <t>MOD-12: Cybersecurity &amp; Hardware Root-of-Trust Service (SEC-TRUST)</t>
        </is>
      </c>
      <c r="H19" s="6" t="inlineStr">
        <is>
          <t>IF-026</t>
        </is>
      </c>
      <c r="I19" s="6" t="inlineStr">
        <is>
          <t>AC-SEC-2.1, AC-SEC-2.2, AC-SEC-2.3, AC-SEC-2.4</t>
        </is>
      </c>
      <c r="J19" s="8" t="inlineStr">
        <is>
          <t>Test</t>
        </is>
      </c>
      <c r="K19" s="6" t="inlineStr">
        <is>
          <t>Reclassified from Functional to dedicated Security category per Task 1 Section 3 ID categories convention.</t>
        </is>
      </c>
      <c r="L19" s="18" t="inlineStr">
        <is>
          <t>Baselined &amp; Mapped (Forward &amp; Backward)</t>
        </is>
      </c>
    </row>
    <row r="20" ht="36" customHeight="1">
      <c r="A20" s="11" t="inlineStr">
        <is>
          <t>REQ-P-001</t>
        </is>
      </c>
      <c r="B20" s="11" t="inlineStr">
        <is>
          <t>DRAFT-P-001</t>
        </is>
      </c>
      <c r="C20" s="12" t="inlineStr">
        <is>
          <t>Flight Control Inner-Loop Deterministic Execution Latency</t>
        </is>
      </c>
      <c r="D20" s="13" t="inlineStr">
        <is>
          <t>Performance</t>
        </is>
      </c>
      <c r="E20" s="9" t="inlineStr">
        <is>
          <t>Performance</t>
        </is>
      </c>
      <c r="F20" s="12" t="inlineStr">
        <is>
          <t>Layer B: Navigation &amp; Autonomy</t>
        </is>
      </c>
      <c r="G20" s="12" t="inlineStr">
        <is>
          <t>MOD-07: Autopilot Flight Control Stack (PX4-AUTOPILOT)</t>
        </is>
      </c>
      <c r="H20" s="12" t="inlineStr">
        <is>
          <t>IF-006, IF-008, IF-009, IF-010</t>
        </is>
      </c>
      <c r="I20" s="12" t="inlineStr">
        <is>
          <t>AC-P-1.1, AC-P-1.2, AC-P-1.3, AC-P-1.4</t>
        </is>
      </c>
      <c r="J20" s="13" t="inlineStr">
        <is>
          <t>Test</t>
        </is>
      </c>
      <c r="K20" s="12" t="inlineStr">
        <is>
          <t>Direct 1-to-1 baseline mapping with updated stable sequential identifier.</t>
        </is>
      </c>
      <c r="L20" s="18" t="inlineStr">
        <is>
          <t>Baselined &amp; Mapped (Forward &amp; Backward)</t>
        </is>
      </c>
    </row>
    <row r="21" ht="36" customHeight="1">
      <c r="A21" s="5" t="inlineStr">
        <is>
          <t>REQ-P-002</t>
        </is>
      </c>
      <c r="B21" s="5" t="inlineStr">
        <is>
          <t>DRAFT-P-002</t>
        </is>
      </c>
      <c r="C21" s="6" t="inlineStr">
        <is>
          <t>High-Altitude Operational Service Ceiling</t>
        </is>
      </c>
      <c r="D21" s="8" t="inlineStr">
        <is>
          <t>Performance</t>
        </is>
      </c>
      <c r="E21" s="9" t="inlineStr">
        <is>
          <t>Performance</t>
        </is>
      </c>
      <c r="F21" s="6" t="inlineStr">
        <is>
          <t>Layer B &amp; Airframe Substrate</t>
        </is>
      </c>
      <c r="G21" s="6" t="inlineStr">
        <is>
          <t>MOD-15: Cold-Weather Propulsion &amp; BMS / MOD-16: Airframe Structure</t>
        </is>
      </c>
      <c r="H21" s="6" t="inlineStr">
        <is>
          <t>N/A (Airframe / Environmental Envelope)</t>
        </is>
      </c>
      <c r="I21" s="6" t="inlineStr">
        <is>
          <t>AC-P-2.1, AC-P-2.2, AC-P-2.3</t>
        </is>
      </c>
      <c r="J21" s="8" t="inlineStr">
        <is>
          <t>Test</t>
        </is>
      </c>
      <c r="K21" s="6" t="inlineStr">
        <is>
          <t>Direct 1-to-1 baseline mapping with updated stable sequential identifier.</t>
        </is>
      </c>
      <c r="L21" s="18" t="inlineStr">
        <is>
          <t>Baselined &amp; Mapped (Forward &amp; Backward)</t>
        </is>
      </c>
    </row>
    <row r="22" ht="36" customHeight="1">
      <c r="A22" s="11" t="inlineStr">
        <is>
          <t>REQ-P-003</t>
        </is>
      </c>
      <c r="B22" s="11" t="inlineStr">
        <is>
          <t>DRAFT-P-003</t>
        </is>
      </c>
      <c r="C22" s="12" t="inlineStr">
        <is>
          <t>Flight Stabilization Mountain Wind Shear Resistance</t>
        </is>
      </c>
      <c r="D22" s="13" t="inlineStr">
        <is>
          <t>Performance</t>
        </is>
      </c>
      <c r="E22" s="9" t="inlineStr">
        <is>
          <t>Performance</t>
        </is>
      </c>
      <c r="F22" s="12" t="inlineStr">
        <is>
          <t>Layer B &amp; Airframe Substrate</t>
        </is>
      </c>
      <c r="G22" s="12" t="inlineStr">
        <is>
          <t>MOD-07: Flight Control &amp; MOD-16: Airframe Dynamics</t>
        </is>
      </c>
      <c r="H22" s="12" t="inlineStr">
        <is>
          <t>IF-007, IF-020, IF-023</t>
        </is>
      </c>
      <c r="I22" s="12" t="inlineStr">
        <is>
          <t>AC-P-3.1, AC-P-3.2, AC-P-3.3, AC-P-3.4</t>
        </is>
      </c>
      <c r="J22" s="13" t="inlineStr">
        <is>
          <t>Test</t>
        </is>
      </c>
      <c r="K22" s="12" t="inlineStr">
        <is>
          <t>Direct 1-to-1 baseline mapping with updated stable sequential identifier.</t>
        </is>
      </c>
      <c r="L22" s="18" t="inlineStr">
        <is>
          <t>Baselined &amp; Mapped (Forward &amp; Backward)</t>
        </is>
      </c>
    </row>
    <row r="23" ht="36" customHeight="1">
      <c r="A23" s="5" t="inlineStr">
        <is>
          <t>REQ-P-004</t>
        </is>
      </c>
      <c r="B23" s="5" t="inlineStr">
        <is>
          <t>DRAFT-P-004</t>
        </is>
      </c>
      <c r="C23" s="6" t="inlineStr">
        <is>
          <t>Sub-Zero Cold-Weather Operating Thermal Envelope</t>
        </is>
      </c>
      <c r="D23" s="8" t="inlineStr">
        <is>
          <t>Performance</t>
        </is>
      </c>
      <c r="E23" s="9" t="inlineStr">
        <is>
          <t>Performance</t>
        </is>
      </c>
      <c r="F23" s="6" t="inlineStr">
        <is>
          <t>Airframe Substrate</t>
        </is>
      </c>
      <c r="G23" s="6" t="inlineStr">
        <is>
          <t>MOD-15: Cold-Weather Propulsion &amp; Thermal Management System</t>
        </is>
      </c>
      <c r="H23" s="6" t="inlineStr">
        <is>
          <t>N/A (Airframe / Environmental Envelope)</t>
        </is>
      </c>
      <c r="I23" s="6" t="inlineStr">
        <is>
          <t>AC-P-4.1, AC-P-4.2, AC-P-4.3, AC-P-4.4</t>
        </is>
      </c>
      <c r="J23" s="8" t="inlineStr">
        <is>
          <t>Test</t>
        </is>
      </c>
      <c r="K23" s="6" t="inlineStr">
        <is>
          <t>Direct 1-to-1 baseline mapping with updated stable sequential identifier.</t>
        </is>
      </c>
      <c r="L23" s="18" t="inlineStr">
        <is>
          <t>Baselined &amp; Mapped (Forward &amp; Backward)</t>
        </is>
      </c>
    </row>
    <row r="24" ht="36" customHeight="1">
      <c r="A24" s="11" t="inlineStr">
        <is>
          <t>REQ-P-005</t>
        </is>
      </c>
      <c r="B24" s="11" t="inlineStr">
        <is>
          <t>DRAFT-P-005</t>
        </is>
      </c>
      <c r="C24" s="12" t="inlineStr">
        <is>
          <t>GNSS-Denied Positional Drift Bound</t>
        </is>
      </c>
      <c r="D24" s="13" t="inlineStr">
        <is>
          <t>Performance</t>
        </is>
      </c>
      <c r="E24" s="9" t="inlineStr">
        <is>
          <t>Performance</t>
        </is>
      </c>
      <c r="F24" s="12" t="inlineStr">
        <is>
          <t>Layer B: Navigation &amp; Autonomy</t>
        </is>
      </c>
      <c r="G24" s="12" t="inlineStr">
        <is>
          <t>MOD-01: GNSS-Denied Localization &amp; Navigation (VIO-NAV)</t>
        </is>
      </c>
      <c r="H24" s="12" t="inlineStr">
        <is>
          <t>IF-002, IF-003, IF-004, IF-005</t>
        </is>
      </c>
      <c r="I24" s="12" t="inlineStr">
        <is>
          <t>AC-P-5.1, AC-P-5.2, AC-P-5.3</t>
        </is>
      </c>
      <c r="J24" s="13" t="inlineStr">
        <is>
          <t>Test</t>
        </is>
      </c>
      <c r="K24" s="12" t="inlineStr">
        <is>
          <t>Direct 1-to-1 baseline mapping with updated stable sequential identifier.</t>
        </is>
      </c>
      <c r="L24" s="18" t="inlineStr">
        <is>
          <t>Baselined &amp; Mapped (Forward &amp; Backward)</t>
        </is>
      </c>
    </row>
    <row r="25" ht="36" customHeight="1">
      <c r="A25" s="5" t="inlineStr">
        <is>
          <t>REQ-P-006</t>
        </is>
      </c>
      <c r="B25" s="5" t="inlineStr">
        <is>
          <t>DRAFT-P-006</t>
        </is>
      </c>
      <c r="C25" s="6" t="inlineStr">
        <is>
          <t>Directional Free-Space Optical Data Throughput &amp; Link Range</t>
        </is>
      </c>
      <c r="D25" s="8" t="inlineStr">
        <is>
          <t>Performance</t>
        </is>
      </c>
      <c r="E25" s="9" t="inlineStr">
        <is>
          <t>Performance</t>
        </is>
      </c>
      <c r="F25" s="6" t="inlineStr">
        <is>
          <t>Layer E: Secure Communications</t>
        </is>
      </c>
      <c r="G25" s="6" t="inlineStr">
        <is>
          <t>MOD-05: Secure Free-Space Optical Transceiver (FSO-COMM)</t>
        </is>
      </c>
      <c r="H25" s="6" t="inlineStr">
        <is>
          <t>IF-018, IF-019, IF-020</t>
        </is>
      </c>
      <c r="I25" s="6" t="inlineStr">
        <is>
          <t>AC-P-6.1, AC-P-6.2, AC-P-6.3</t>
        </is>
      </c>
      <c r="J25" s="8" t="inlineStr">
        <is>
          <t>Test</t>
        </is>
      </c>
      <c r="K25" s="6" t="inlineStr">
        <is>
          <t>Direct 1-to-1 baseline mapping with updated stable sequential identifier.</t>
        </is>
      </c>
      <c r="L25" s="18" t="inlineStr">
        <is>
          <t>Baselined &amp; Mapped (Forward &amp; Backward)</t>
        </is>
      </c>
    </row>
    <row r="26" ht="36" customHeight="1">
      <c r="A26" s="11" t="inlineStr">
        <is>
          <t>REQ-P-007</t>
        </is>
      </c>
      <c r="B26" s="11" t="inlineStr">
        <is>
          <t>DRAFT-P-007</t>
        </is>
      </c>
      <c r="C26" s="12" t="inlineStr">
        <is>
          <t>Heterogeneous Edge Compute AI Processing Capacity</t>
        </is>
      </c>
      <c r="D26" s="13" t="inlineStr">
        <is>
          <t>Performance</t>
        </is>
      </c>
      <c r="E26" s="9" t="inlineStr">
        <is>
          <t>Performance</t>
        </is>
      </c>
      <c r="F26" s="12" t="inlineStr">
        <is>
          <t>Layer C: Heterogeneous Edge Compute</t>
        </is>
      </c>
      <c r="G26" s="12" t="inlineStr">
        <is>
          <t>Heterogeneous Edge Compute Substrate (CPU/GPU/NPU/DSP)</t>
        </is>
      </c>
      <c r="H26" s="12" t="inlineStr">
        <is>
          <t>IF-001, IF-012, IF-014, IF-016, IF-017</t>
        </is>
      </c>
      <c r="I26" s="12" t="inlineStr">
        <is>
          <t>AC-P-7.1, AC-P-7.2, AC-P-7.3</t>
        </is>
      </c>
      <c r="J26" s="13" t="inlineStr">
        <is>
          <t>Inspection</t>
        </is>
      </c>
      <c r="K26" s="12" t="inlineStr">
        <is>
          <t>Direct 1-to-1 baseline mapping with updated stable sequential identifier.</t>
        </is>
      </c>
      <c r="L26" s="18" t="inlineStr">
        <is>
          <t>Baselined &amp; Mapped (Forward &amp; Backward)</t>
        </is>
      </c>
    </row>
    <row r="27" ht="36" customHeight="1">
      <c r="A27" s="5" t="inlineStr">
        <is>
          <t>REQ-P-008</t>
        </is>
      </c>
      <c r="B27" s="5" t="inlineStr">
        <is>
          <t>DRAFT-P-008</t>
        </is>
      </c>
      <c r="C27" s="6" t="inlineStr">
        <is>
          <t>Quantized Neural Inference Real-Time Frame Throughput</t>
        </is>
      </c>
      <c r="D27" s="8" t="inlineStr">
        <is>
          <t>Performance</t>
        </is>
      </c>
      <c r="E27" s="9" t="inlineStr">
        <is>
          <t>Performance</t>
        </is>
      </c>
      <c r="F27" s="6" t="inlineStr">
        <is>
          <t>Layer F: Mission Intelligence &amp; AI</t>
        </is>
      </c>
      <c r="G27" s="6" t="inlineStr">
        <is>
          <t>MOD-03: Heterogeneous Edge Intelligence Engine (EDGE-AI)</t>
        </is>
      </c>
      <c r="H27" s="6" t="inlineStr">
        <is>
          <t>IF-017</t>
        </is>
      </c>
      <c r="I27" s="6" t="inlineStr">
        <is>
          <t>AC-P-8.1, AC-P-8.2, AC-P-8.3, AC-P-8.4</t>
        </is>
      </c>
      <c r="J27" s="8" t="inlineStr">
        <is>
          <t>Test</t>
        </is>
      </c>
      <c r="K27" s="6" t="inlineStr">
        <is>
          <t>Direct 1-to-1 baseline mapping with updated stable sequential identifier.</t>
        </is>
      </c>
      <c r="L27" s="18" t="inlineStr">
        <is>
          <t>Baselined &amp; Mapped (Forward &amp; Backward)</t>
        </is>
      </c>
    </row>
    <row r="28" ht="36" customHeight="1">
      <c r="A28" s="11" t="inlineStr">
        <is>
          <t>REQ-P-009</t>
        </is>
      </c>
      <c r="B28" s="11" t="inlineStr">
        <is>
          <t>DRAFT-P-009</t>
        </is>
      </c>
      <c r="C28" s="12" t="inlineStr">
        <is>
          <t>Low-RCS Stealth Airframe Radar Cross-Section</t>
        </is>
      </c>
      <c r="D28" s="13" t="inlineStr">
        <is>
          <t>Performance</t>
        </is>
      </c>
      <c r="E28" s="9" t="inlineStr">
        <is>
          <t>Performance</t>
        </is>
      </c>
      <c r="F28" s="12" t="inlineStr">
        <is>
          <t>Airframe Substrate</t>
        </is>
      </c>
      <c r="G28" s="12" t="inlineStr">
        <is>
          <t>MOD-16: Low-RCS Stealth Airframe &amp; Composite Structures</t>
        </is>
      </c>
      <c r="H28" s="12" t="inlineStr">
        <is>
          <t>N/A (Airframe / Environmental Envelope)</t>
        </is>
      </c>
      <c r="I28" s="12" t="inlineStr">
        <is>
          <t>AC-P-9.1, AC-P-9.2, AC-P-9.3, AC-P-9.4</t>
        </is>
      </c>
      <c r="J28" s="13" t="inlineStr">
        <is>
          <t>Analysis</t>
        </is>
      </c>
      <c r="K28" s="12" t="inlineStr">
        <is>
          <t>Direct 1-to-1 baseline mapping with updated stable sequential identifier.</t>
        </is>
      </c>
      <c r="L28" s="18" t="inlineStr">
        <is>
          <t>Baselined &amp; Mapped (Forward &amp; Backward)</t>
        </is>
      </c>
    </row>
    <row r="29" ht="36" customHeight="1">
      <c r="A29" s="5" t="inlineStr">
        <is>
          <t>REQ-P-010</t>
        </is>
      </c>
      <c r="B29" s="5" t="inlineStr">
        <is>
          <t>DRAFT-P-010</t>
        </is>
      </c>
      <c r="C29" s="6" t="inlineStr">
        <is>
          <t>Wideband Software-Defined Radio Spectrum Monitoring Range</t>
        </is>
      </c>
      <c r="D29" s="8" t="inlineStr">
        <is>
          <t>Performance</t>
        </is>
      </c>
      <c r="E29" s="9" t="inlineStr">
        <is>
          <t>Performance</t>
        </is>
      </c>
      <c r="F29" s="6" t="inlineStr">
        <is>
          <t>Layer D: Electromagnetic Awareness</t>
        </is>
      </c>
      <c r="G29" s="6" t="inlineStr">
        <is>
          <t>MOD-04: Electromagnetic Sensing &amp; Acoustic Tracking (EW-DSP)</t>
        </is>
      </c>
      <c r="H29" s="6" t="inlineStr">
        <is>
          <t>IF-011, IF-013, IF-022</t>
        </is>
      </c>
      <c r="I29" s="6" t="inlineStr">
        <is>
          <t>AC-P-10.1, AC-P-10.2, AC-P-10.3, AC-P-10.4</t>
        </is>
      </c>
      <c r="J29" s="8" t="inlineStr">
        <is>
          <t>Test</t>
        </is>
      </c>
      <c r="K29" s="6" t="inlineStr">
        <is>
          <t>Direct 1-to-1 baseline mapping with updated stable sequential identifier.</t>
        </is>
      </c>
      <c r="L29" s="18" t="inlineStr">
        <is>
          <t>Baselined &amp; Mapped (Forward &amp; Backward)</t>
        </is>
      </c>
    </row>
    <row r="30" ht="36" customHeight="1">
      <c r="A30" s="11" t="inlineStr">
        <is>
          <t>REQ-S-001</t>
        </is>
      </c>
      <c r="B30" s="11" t="inlineStr">
        <is>
          <t>DRAFT-S-001</t>
        </is>
      </c>
      <c r="C30" s="12" t="inlineStr">
        <is>
          <t>Asynchronous Hardware Firewall &amp; Autopilot Core Isolation</t>
        </is>
      </c>
      <c r="D30" s="13" t="inlineStr">
        <is>
          <t>Safety</t>
        </is>
      </c>
      <c r="E30" s="10" t="inlineStr">
        <is>
          <t>Safety</t>
        </is>
      </c>
      <c r="F30" s="12" t="inlineStr">
        <is>
          <t>Layer B &amp; Layer C</t>
        </is>
      </c>
      <c r="G30" s="12" t="inlineStr">
        <is>
          <t>Flight Avionics Hardware Isolation Architecture</t>
        </is>
      </c>
      <c r="H30" s="12" t="inlineStr">
        <is>
          <t>IF-005, IF-008, IF-009, IF-010</t>
        </is>
      </c>
      <c r="I30" s="12" t="inlineStr">
        <is>
          <t>AC-S-1.1, AC-S-1.2, AC-S-1.3</t>
        </is>
      </c>
      <c r="J30" s="13" t="inlineStr">
        <is>
          <t>Inspection</t>
        </is>
      </c>
      <c r="K30" s="12" t="inlineStr">
        <is>
          <t>Direct 1-to-1 baseline mapping with updated stable sequential identifier.</t>
        </is>
      </c>
      <c r="L30" s="18" t="inlineStr">
        <is>
          <t>Baselined &amp; Mapped (Forward &amp; Backward)</t>
        </is>
      </c>
    </row>
    <row r="31" ht="36" customHeight="1">
      <c r="A31" s="5" t="inlineStr">
        <is>
          <t>REQ-S-002</t>
        </is>
      </c>
      <c r="B31" s="5" t="inlineStr">
        <is>
          <t>DRAFT-S-002</t>
        </is>
      </c>
      <c r="C31" s="6" t="inlineStr">
        <is>
          <t>Airborne Flight Software &amp; Electronic Hardware Safety Standards</t>
        </is>
      </c>
      <c r="D31" s="8" t="inlineStr">
        <is>
          <t>Safety</t>
        </is>
      </c>
      <c r="E31" s="10" t="inlineStr">
        <is>
          <t>Safety</t>
        </is>
      </c>
      <c r="F31" s="6" t="inlineStr">
        <is>
          <t>System-Wide Architecture</t>
        </is>
      </c>
      <c r="G31" s="6" t="inlineStr">
        <is>
          <t>Quality Assurance &amp; Systems Safety Governance (QA-SAFETY)</t>
        </is>
      </c>
      <c r="H31" s="6" t="inlineStr">
        <is>
          <t>N/A (Safety Governance &amp; Lifecycle Process)</t>
        </is>
      </c>
      <c r="I31" s="6" t="inlineStr">
        <is>
          <t>AC-S-2.1, AC-S-2.2, AC-S-2.3, AC-S-2.4</t>
        </is>
      </c>
      <c r="J31" s="8" t="inlineStr">
        <is>
          <t>Analysis</t>
        </is>
      </c>
      <c r="K31" s="6" t="inlineStr">
        <is>
          <t>Direct 1-to-1 baseline mapping with updated stable sequential identifier.</t>
        </is>
      </c>
      <c r="L31" s="18" t="inlineStr">
        <is>
          <t>Baselined &amp; Mapped (Forward &amp; Backward)</t>
        </is>
      </c>
    </row>
    <row r="32" ht="36" customHeight="1">
      <c r="A32" s="11" t="inlineStr">
        <is>
          <t>REQ-S-003</t>
        </is>
      </c>
      <c r="B32" s="11" t="inlineStr">
        <is>
          <t>DRAFT-S-003</t>
        </is>
      </c>
      <c r="C32" s="12" t="inlineStr">
        <is>
          <t>Redundant Avionics Bus Communications &amp; Hardware Watchdog Failsafe</t>
        </is>
      </c>
      <c r="D32" s="13" t="inlineStr">
        <is>
          <t>Safety</t>
        </is>
      </c>
      <c r="E32" s="10" t="inlineStr">
        <is>
          <t>Safety</t>
        </is>
      </c>
      <c r="F32" s="12" t="inlineStr">
        <is>
          <t>Layer B: Navigation &amp; Autonomy</t>
        </is>
      </c>
      <c r="G32" s="12" t="inlineStr">
        <is>
          <t>Avionics Communications Bus Subsystem (MOD-07, MOD-08)</t>
        </is>
      </c>
      <c r="H32" s="12" t="inlineStr">
        <is>
          <t>IF-003, IF-006, IF-008, IF-021, IF-022</t>
        </is>
      </c>
      <c r="I32" s="12" t="inlineStr">
        <is>
          <t>AC-S-3.1, AC-S-3.2, AC-S-3.3, AC-S-3.4</t>
        </is>
      </c>
      <c r="J32" s="13" t="inlineStr">
        <is>
          <t>Test</t>
        </is>
      </c>
      <c r="K32" s="12" t="inlineStr">
        <is>
          <t>Direct 1-to-1 baseline mapping with updated stable sequential identifier.</t>
        </is>
      </c>
      <c r="L32" s="18" t="inlineStr">
        <is>
          <t>Baselined &amp; Mapped (Forward &amp; Backward)</t>
        </is>
      </c>
    </row>
    <row r="33" ht="36" customHeight="1">
      <c r="A33" s="5" t="inlineStr">
        <is>
          <t>REQ-S-004</t>
        </is>
      </c>
      <c r="B33" s="5" t="inlineStr">
        <is>
          <t>DRAFT-S-004</t>
        </is>
      </c>
      <c r="C33" s="6" t="inlineStr">
        <is>
          <t>Dual-Redundant Opto-Isolated Cargo Release Safety Interlock</t>
        </is>
      </c>
      <c r="D33" s="8" t="inlineStr">
        <is>
          <t>Safety</t>
        </is>
      </c>
      <c r="E33" s="10" t="inlineStr">
        <is>
          <t>Safety</t>
        </is>
      </c>
      <c r="F33" s="6" t="inlineStr">
        <is>
          <t>Layer G: Authorized Effectors &amp; Payloads</t>
        </is>
      </c>
      <c r="G33" s="6" t="inlineStr">
        <is>
          <t>MOD-06: Mission Payload &amp; Wind-Compensated Release (PAYLOAD-POD)</t>
        </is>
      </c>
      <c r="H33" s="6" t="inlineStr">
        <is>
          <t>IF-023, IF-024</t>
        </is>
      </c>
      <c r="I33" s="6" t="inlineStr">
        <is>
          <t>AC-S-4.1, AC-S-4.2, AC-S-4.3, AC-S-4.4</t>
        </is>
      </c>
      <c r="J33" s="8" t="inlineStr">
        <is>
          <t>Test</t>
        </is>
      </c>
      <c r="K33" s="6" t="inlineStr">
        <is>
          <t>Direct 1-to-1 baseline mapping with updated stable sequential identifier.</t>
        </is>
      </c>
      <c r="L33" s="18" t="inlineStr">
        <is>
          <t>Baselined &amp; Mapped (Forward &amp; Backward)</t>
        </is>
      </c>
    </row>
    <row r="34" ht="36" customHeight="1">
      <c r="A34" s="11" t="inlineStr">
        <is>
          <t>REQ-S-005</t>
        </is>
      </c>
      <c r="B34" s="11" t="inlineStr">
        <is>
          <t>DRAFT-S-005</t>
        </is>
      </c>
      <c r="C34" s="12" t="inlineStr">
        <is>
          <t>Air-Gapped Inter-Process Communication &amp; Network Isolation</t>
        </is>
      </c>
      <c r="D34" s="13" t="inlineStr">
        <is>
          <t>Safety</t>
        </is>
      </c>
      <c r="E34" s="10" t="inlineStr">
        <is>
          <t>Safety</t>
        </is>
      </c>
      <c r="F34" s="12" t="inlineStr">
        <is>
          <t>Layer C &amp; Layer H</t>
        </is>
      </c>
      <c r="G34" s="12" t="inlineStr">
        <is>
          <t>Operating System &amp; Network Architecture</t>
        </is>
      </c>
      <c r="H34" s="12" t="inlineStr">
        <is>
          <t>IF-001, IF-002, IF-011, IF-013, IF-014, IF-018, IF-025, IF-026</t>
        </is>
      </c>
      <c r="I34" s="12" t="inlineStr">
        <is>
          <t>AC-S-5.1, AC-S-5.2, AC-S-5.3, AC-S-5.4</t>
        </is>
      </c>
      <c r="J34" s="13" t="inlineStr">
        <is>
          <t>Inspection</t>
        </is>
      </c>
      <c r="K34" s="12" t="inlineStr">
        <is>
          <t>Direct 1-to-1 baseline mapping with updated stable sequential identifier.</t>
        </is>
      </c>
      <c r="L34" s="18" t="inlineStr">
        <is>
          <t>Baselined &amp; Mapped (Forward &amp; Backward)</t>
        </is>
      </c>
    </row>
    <row r="35" ht="36" customHeight="1">
      <c r="A35" s="5" t="inlineStr">
        <is>
          <t>REQ-S-006</t>
        </is>
      </c>
      <c r="B35" s="5" t="inlineStr">
        <is>
          <t>DRAFT-S-006</t>
        </is>
      </c>
      <c r="C35" s="6" t="inlineStr">
        <is>
          <t>Pre-Flight Benchtop Integration Zero Bus Collision Endurance</t>
        </is>
      </c>
      <c r="D35" s="8" t="inlineStr">
        <is>
          <t>Safety</t>
        </is>
      </c>
      <c r="E35" s="10" t="inlineStr">
        <is>
          <t>Safety</t>
        </is>
      </c>
      <c r="F35" s="6" t="inlineStr">
        <is>
          <t>Validation Ladder Tier 4</t>
        </is>
      </c>
      <c r="G35" s="6" t="inlineStr">
        <is>
          <t>Benchtop Integration &amp; Avionics Testbench (SIM-HIL)</t>
        </is>
      </c>
      <c r="H35" s="6" t="inlineStr">
        <is>
          <t>IF-003, IF-005, IF-008</t>
        </is>
      </c>
      <c r="I35" s="6" t="inlineStr">
        <is>
          <t>AC-S-6.1, AC-S-6.2, AC-S-6.3, AC-S-6.4</t>
        </is>
      </c>
      <c r="J35" s="8" t="inlineStr">
        <is>
          <t>Test</t>
        </is>
      </c>
      <c r="K35" s="6" t="inlineStr">
        <is>
          <t>Direct 1-to-1 baseline mapping with updated stable sequential identifier.</t>
        </is>
      </c>
      <c r="L35" s="18" t="inlineStr">
        <is>
          <t>Baselined &amp; Mapped (Forward &amp; Backward)</t>
        </is>
      </c>
    </row>
    <row r="36" ht="36" customHeight="1">
      <c r="A36" s="11" t="inlineStr">
        <is>
          <t>REQ-D-001</t>
        </is>
      </c>
      <c r="B36" s="11" t="inlineStr">
        <is>
          <t>DRAFT-D-001</t>
        </is>
      </c>
      <c r="C36" s="12" t="inlineStr">
        <is>
          <t>Baseline System Requirements Specification (SRS) Milestone Freeze</t>
        </is>
      </c>
      <c r="D36" s="13" t="inlineStr">
        <is>
          <t>Documentation</t>
        </is>
      </c>
      <c r="E36" s="21" t="inlineStr">
        <is>
          <t>Documentation</t>
        </is>
      </c>
      <c r="F36" s="12" t="inlineStr">
        <is>
          <t>Milestone 1 Deliverable</t>
        </is>
      </c>
      <c r="G36" s="12" t="inlineStr">
        <is>
          <t>Systems Engineering &amp; Configuration Management</t>
        </is>
      </c>
      <c r="H36" s="12" t="inlineStr">
        <is>
          <t>N/A (Documentation Deliverable)</t>
        </is>
      </c>
      <c r="I36" s="12" t="inlineStr">
        <is>
          <t>AC-D-1.1, AC-D-1.2, AC-D-1.3</t>
        </is>
      </c>
      <c r="J36" s="13" t="inlineStr">
        <is>
          <t>Inspection</t>
        </is>
      </c>
      <c r="K36" s="12" t="inlineStr">
        <is>
          <t>Direct 1-to-1 baseline mapping with updated stable sequential identifier.</t>
        </is>
      </c>
      <c r="L36" s="18" t="inlineStr">
        <is>
          <t>Baselined &amp; Mapped (Forward &amp; Backward)</t>
        </is>
      </c>
    </row>
    <row r="37" ht="36" customHeight="1">
      <c r="A37" s="5" t="inlineStr">
        <is>
          <t>REQ-D-002</t>
        </is>
      </c>
      <c r="B37" s="5" t="inlineStr">
        <is>
          <t>DRAFT-D-002</t>
        </is>
      </c>
      <c r="C37" s="6" t="inlineStr">
        <is>
          <t>Configuration-Controlled Project Scope Baseline Maintenance</t>
        </is>
      </c>
      <c r="D37" s="8" t="inlineStr">
        <is>
          <t>Documentation</t>
        </is>
      </c>
      <c r="E37" s="21" t="inlineStr">
        <is>
          <t>Documentation</t>
        </is>
      </c>
      <c r="F37" s="6" t="inlineStr">
        <is>
          <t>Deliverable P01</t>
        </is>
      </c>
      <c r="G37" s="6" t="inlineStr">
        <is>
          <t>Systems Engineering &amp; Configuration Management</t>
        </is>
      </c>
      <c r="H37" s="6" t="inlineStr">
        <is>
          <t>N/A (Documentation Deliverable)</t>
        </is>
      </c>
      <c r="I37" s="6" t="inlineStr">
        <is>
          <t>AC-D-2.1, AC-D-2.2, AC-D-2.3</t>
        </is>
      </c>
      <c r="J37" s="8" t="inlineStr">
        <is>
          <t>Inspection</t>
        </is>
      </c>
      <c r="K37" s="6" t="inlineStr">
        <is>
          <t>Direct 1-to-1 baseline mapping with updated stable sequential identifier.</t>
        </is>
      </c>
      <c r="L37" s="18" t="inlineStr">
        <is>
          <t>Baselined &amp; Mapped (Forward &amp; Backward)</t>
        </is>
      </c>
    </row>
    <row r="38" ht="36" customHeight="1">
      <c r="A38" s="11" t="inlineStr">
        <is>
          <t>REQ-D-003</t>
        </is>
      </c>
      <c r="B38" s="11" t="inlineStr">
        <is>
          <t>DRAFT-D-003</t>
        </is>
      </c>
      <c r="C38" s="12" t="inlineStr">
        <is>
          <t>Auditable Numbered Requirements Register Maintenance</t>
        </is>
      </c>
      <c r="D38" s="13" t="inlineStr">
        <is>
          <t>Documentation</t>
        </is>
      </c>
      <c r="E38" s="21" t="inlineStr">
        <is>
          <t>Documentation</t>
        </is>
      </c>
      <c r="F38" s="12" t="inlineStr">
        <is>
          <t>Deliverable P03</t>
        </is>
      </c>
      <c r="G38" s="12" t="inlineStr">
        <is>
          <t>Systems Engineering &amp; Configuration Management</t>
        </is>
      </c>
      <c r="H38" s="12" t="inlineStr">
        <is>
          <t>N/A (Documentation Deliverable)</t>
        </is>
      </c>
      <c r="I38" s="12" t="inlineStr">
        <is>
          <t>AC-D-3.1, AC-D-3.2, AC-D-3.3, AC-D-3.4</t>
        </is>
      </c>
      <c r="J38" s="13" t="inlineStr">
        <is>
          <t>Inspection</t>
        </is>
      </c>
      <c r="K38" s="12" t="inlineStr">
        <is>
          <t>Direct 1-to-1 baseline mapping with updated stable sequential identifier.</t>
        </is>
      </c>
      <c r="L38" s="18" t="inlineStr">
        <is>
          <t>Baselined &amp; Mapped (Forward &amp; Backward)</t>
        </is>
      </c>
    </row>
    <row r="39" ht="36" customHeight="1">
      <c r="A39" s="5" t="inlineStr">
        <is>
          <t>REQ-D-004</t>
        </is>
      </c>
      <c r="B39" s="5" t="inlineStr">
        <is>
          <t>DRAFT-D-004</t>
        </is>
      </c>
      <c r="C39" s="6" t="inlineStr">
        <is>
          <t>Safety Lifecycle Compliance Data &amp; Requirement Traceability Matrix</t>
        </is>
      </c>
      <c r="D39" s="8" t="inlineStr">
        <is>
          <t>Documentation</t>
        </is>
      </c>
      <c r="E39" s="21" t="inlineStr">
        <is>
          <t>Documentation</t>
        </is>
      </c>
      <c r="F39" s="6" t="inlineStr">
        <is>
          <t>Deliverable P09</t>
        </is>
      </c>
      <c r="G39" s="6" t="inlineStr">
        <is>
          <t>Systems Engineering &amp; Quality Governance</t>
        </is>
      </c>
      <c r="H39" s="6" t="inlineStr">
        <is>
          <t>N/A (Documentation Deliverable)</t>
        </is>
      </c>
      <c r="I39" s="6" t="inlineStr">
        <is>
          <t>AC-D-4.1, AC-D-4.2, AC-D-4.3</t>
        </is>
      </c>
      <c r="J39" s="8" t="inlineStr">
        <is>
          <t>Inspection</t>
        </is>
      </c>
      <c r="K39" s="6" t="inlineStr">
        <is>
          <t>Direct 1-to-1 baseline mapping with updated stable sequential identifier.</t>
        </is>
      </c>
      <c r="L39" s="18" t="inlineStr">
        <is>
          <t>Baselined &amp; Mapped (Forward &amp; Backward)</t>
        </is>
      </c>
    </row>
    <row r="40" ht="36" customHeight="1">
      <c r="A40" s="11" t="inlineStr">
        <is>
          <t>REQ-D-005</t>
        </is>
      </c>
      <c r="B40" s="11" t="inlineStr">
        <is>
          <t>DRAFT-D-005</t>
        </is>
      </c>
      <c r="C40" s="12" t="inlineStr">
        <is>
          <t>Hardware-in-the-Loop Integration &amp; Thermal Profiling Test Reports</t>
        </is>
      </c>
      <c r="D40" s="13" t="inlineStr">
        <is>
          <t>Documentation</t>
        </is>
      </c>
      <c r="E40" s="21" t="inlineStr">
        <is>
          <t>Documentation</t>
        </is>
      </c>
      <c r="F40" s="12" t="inlineStr">
        <is>
          <t>Milestone 2 Deliverable</t>
        </is>
      </c>
      <c r="G40" s="12" t="inlineStr">
        <is>
          <t>Test Engineering &amp; Systems Integration</t>
        </is>
      </c>
      <c r="H40" s="12" t="inlineStr">
        <is>
          <t>N/A (Documentation Deliverable)</t>
        </is>
      </c>
      <c r="I40" s="12" t="inlineStr">
        <is>
          <t>AC-D-5.1, AC-D-5.2, AC-D-5.3</t>
        </is>
      </c>
      <c r="J40" s="13" t="inlineStr">
        <is>
          <t>Inspection</t>
        </is>
      </c>
      <c r="K40" s="12" t="inlineStr">
        <is>
          <t>Direct 1-to-1 baseline mapping with updated stable sequential identifier.</t>
        </is>
      </c>
      <c r="L40" s="18" t="inlineStr">
        <is>
          <t>Baselined &amp; Mapped (Forward &amp; Backward)</t>
        </is>
      </c>
    </row>
    <row r="41" ht="36" customHeight="1">
      <c r="A41" s="5" t="inlineStr">
        <is>
          <t>REQ-D-006</t>
        </is>
      </c>
      <c r="B41" s="5" t="inlineStr">
        <is>
          <t>DRAFT-D-006</t>
        </is>
      </c>
      <c r="C41" s="6" t="inlineStr">
        <is>
          <t>Comprehensive Defense Qualification &amp; Pre-Induction Trial Dossiers</t>
        </is>
      </c>
      <c r="D41" s="8" t="inlineStr">
        <is>
          <t>Documentation</t>
        </is>
      </c>
      <c r="E41" s="21" t="inlineStr">
        <is>
          <t>Documentation</t>
        </is>
      </c>
      <c r="F41" s="6" t="inlineStr">
        <is>
          <t>Milestone 5 Deliverable</t>
        </is>
      </c>
      <c r="G41" s="6" t="inlineStr">
        <is>
          <t>Systems Engineering &amp; Defense Certification</t>
        </is>
      </c>
      <c r="H41" s="6" t="inlineStr">
        <is>
          <t>N/A (Documentation Deliverable)</t>
        </is>
      </c>
      <c r="I41" s="6" t="inlineStr">
        <is>
          <t>AC-D-6.1, AC-D-6.2, AC-D-6.3</t>
        </is>
      </c>
      <c r="J41" s="8" t="inlineStr">
        <is>
          <t>Inspection</t>
        </is>
      </c>
      <c r="K41" s="6" t="inlineStr">
        <is>
          <t>Direct 1-to-1 baseline mapping with updated stable sequential identifier.</t>
        </is>
      </c>
      <c r="L41" s="18" t="inlineStr">
        <is>
          <t>Baselined &amp; Mapped (Forward &amp; Backward)</t>
        </is>
      </c>
    </row>
  </sheetData>
  <autoFilter ref="A4:L41"/>
  <mergeCells count="3">
    <mergeCell ref="A3:L3"/>
    <mergeCell ref="A2:L2"/>
    <mergeCell ref="A1:L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0"/>
  <sheetViews>
    <sheetView showGridLines="1" workbookViewId="0">
      <selection activeCell="A1" sqref="A1"/>
    </sheetView>
  </sheetViews>
  <sheetFormatPr baseColWidth="8" defaultRowHeight="15"/>
  <cols>
    <col width="32" customWidth="1" min="1" max="1"/>
    <col width="24" customWidth="1" min="2" max="2"/>
    <col width="26" customWidth="1" min="3" max="3"/>
    <col width="35" customWidth="1" min="4" max="4"/>
    <col width="38" customWidth="1" min="5" max="5"/>
    <col width="32" customWidth="1" min="6" max="6"/>
  </cols>
  <sheetData>
    <row r="1">
      <c r="A1" s="1" t="inlineStr">
        <is>
          <t>RUDRAEDGE RE-T1 (SPECTRA) — REQUIREMENTS TRACEABILITY &amp; COVERAGE SUMMARY</t>
        </is>
      </c>
    </row>
    <row r="2">
      <c r="A2" s="2" t="inlineStr">
        <is>
          <t>Executive Traceability Metrics, Verification Method Allocations, and Audit Integrity Baseline</t>
        </is>
      </c>
    </row>
    <row r="3">
      <c r="A3" s="3" t="inlineStr">
        <is>
          <t>Governing Standard: iDEX / DIO / MoD Evaluation Standard | Date: October 2026 | Authority: REA-T1-OVERVIEW-2026-V1.0</t>
        </is>
      </c>
    </row>
    <row r="5" ht="24" customHeight="1">
      <c r="A5" s="22" t="inlineStr">
        <is>
          <t>1. EXECUTIVE TRACEABILITY METRICS (FORMULA-EVALUATED)</t>
        </is>
      </c>
    </row>
    <row r="6" ht="25" customHeight="1">
      <c r="A6" s="4" t="inlineStr">
        <is>
          <t>Metric Description / Traceability Dimension</t>
        </is>
      </c>
      <c r="B6" s="4" t="inlineStr">
        <is>
          <t>Requirement Count</t>
        </is>
      </c>
      <c r="C6" s="4" t="inlineStr">
        <is>
          <t>Coverage (%)</t>
        </is>
      </c>
      <c r="D6" s="4" t="inlineStr">
        <is>
          <t>Evaluation Formula / Criteria</t>
        </is>
      </c>
      <c r="E6" s="4" t="inlineStr">
        <is>
          <t>Traceability Status &amp; Audit Assessment</t>
        </is>
      </c>
      <c r="F6" s="4" t="inlineStr">
        <is>
          <t>Evidence Limitation &amp; Audit Note</t>
        </is>
      </c>
    </row>
    <row r="7" ht="24" customHeight="1">
      <c r="A7" s="23" t="inlineStr">
        <is>
          <t>Total System Requirements Baselined</t>
        </is>
      </c>
      <c r="B7" s="24">
        <f>COUNTA('Requirements Traceability Matrix'!A5:A41)</f>
        <v/>
      </c>
      <c r="C7" s="25">
        <f>B7/B7</f>
        <v/>
      </c>
      <c r="D7" s="26" t="inlineStr">
        <is>
          <t>COUNT of distinct active requirements in Master Register</t>
        </is>
      </c>
      <c r="E7" s="18" t="inlineStr">
        <is>
          <t>100.0% Baselined</t>
        </is>
      </c>
      <c r="F7" s="26" t="inlineStr">
        <is>
          <t>Full set of 37 frozen system requirements in P03 register.</t>
        </is>
      </c>
    </row>
    <row r="8" ht="24" customHeight="1">
      <c r="A8" s="23" t="inlineStr">
        <is>
          <t>Requirements with Verified Source References</t>
        </is>
      </c>
      <c r="B8" s="24">
        <f>COUNTIF('Requirements Traceability Matrix'!D5:D41,"&lt;&gt;")</f>
        <v/>
      </c>
      <c r="C8" s="25">
        <f>B8/$B$7</f>
        <v/>
      </c>
      <c r="D8" s="26" t="inlineStr">
        <is>
          <t>COUNTIF(Source Document != blank)</t>
        </is>
      </c>
      <c r="E8" s="18" t="inlineStr">
        <is>
          <t>100.0% Traceable to Source</t>
        </is>
      </c>
      <c r="F8" s="26" t="inlineStr">
        <is>
          <t>All requirements mapped to REA-T1-OVERVIEW-2026-V1.0 or Task Baselines.</t>
        </is>
      </c>
    </row>
    <row r="9" ht="24" customHeight="1">
      <c r="A9" s="23" t="inlineStr">
        <is>
          <t>Requirements with Implementation References Assigned</t>
        </is>
      </c>
      <c r="B9" s="24">
        <f>COUNTIF('Requirements Traceability Matrix'!F5:F41,"&lt;&gt;")</f>
        <v/>
      </c>
      <c r="C9" s="25">
        <f>B9/$B$7</f>
        <v/>
      </c>
      <c r="D9" s="26" t="inlineStr">
        <is>
          <t>COUNTIF(Implementation Reference != blank)</t>
        </is>
      </c>
      <c r="E9" s="18" t="inlineStr">
        <is>
          <t>100.0% Allocated to Architecture</t>
        </is>
      </c>
      <c r="F9" s="26" t="inlineStr">
        <is>
          <t>All 37 requirements mapped to PECLF 8-Layer subsystems &amp; P07 module IDs.</t>
        </is>
      </c>
    </row>
    <row r="10" ht="24" customHeight="1">
      <c r="A10" s="23" t="inlineStr">
        <is>
          <t>Requirements with Related Interface IDs Accounted</t>
        </is>
      </c>
      <c r="B10" s="24">
        <f>COUNTIF('Requirements Traceability Matrix'!G5:G41,"&lt;&gt;")</f>
        <v/>
      </c>
      <c r="C10" s="25">
        <f>B10/$B$7</f>
        <v/>
      </c>
      <c r="D10" s="26" t="inlineStr">
        <is>
          <t>COUNTIF(Interface ID != blank)</t>
        </is>
      </c>
      <c r="E10" s="18" t="inlineStr">
        <is>
          <t>100.0% Formally Accounted</t>
        </is>
      </c>
      <c r="F10" s="26" t="inlineStr">
        <is>
          <t>27 mapped to software/hardware interfaces (IF-001..IF-026); 10 documented N/A.</t>
        </is>
      </c>
    </row>
    <row r="11" ht="24" customHeight="1">
      <c r="A11" s="23" t="inlineStr">
        <is>
          <t>Requirements with Verification Methods Assigned</t>
        </is>
      </c>
      <c r="B11" s="24">
        <f>COUNTIF('Requirements Traceability Matrix'!H5:H41,"&lt;&gt;")</f>
        <v/>
      </c>
      <c r="C11" s="25">
        <f>B11/$B$7</f>
        <v/>
      </c>
      <c r="D11" s="26" t="inlineStr">
        <is>
          <t>COUNTIF(Verification Method != blank)</t>
        </is>
      </c>
      <c r="E11" s="18" t="inlineStr">
        <is>
          <t>100.0% Method Assigned</t>
        </is>
      </c>
      <c r="F11" s="26" t="inlineStr">
        <is>
          <t>All 37 requirements assigned Test, Demonstration, Inspection, or Analysis.</t>
        </is>
      </c>
    </row>
    <row r="12" ht="24" customHeight="1">
      <c r="A12" s="23" t="inlineStr">
        <is>
          <t>Requirements with Acceptance Criteria Defined</t>
        </is>
      </c>
      <c r="B12" s="24">
        <f>COUNTIF('Requirements Traceability Matrix'!I5:I41,"&lt;&gt;Pending Definition")</f>
        <v/>
      </c>
      <c r="C12" s="25">
        <f>B12/$B$7</f>
        <v/>
      </c>
      <c r="D12" s="26" t="inlineStr">
        <is>
          <t>COUNTIF(Acceptance Criteria != 'Pending Definition')</t>
        </is>
      </c>
      <c r="E12" s="18" t="inlineStr">
        <is>
          <t>100.0% Criteria Specified</t>
        </is>
      </c>
      <c r="F12" s="26" t="inlineStr">
        <is>
          <t>116 formal acceptance criteria criteria (AC IDs) established in P04.</t>
        </is>
      </c>
    </row>
    <row r="13" ht="24" customHeight="1">
      <c r="A13" s="23" t="inlineStr">
        <is>
          <t>Requirements Linked to Allocated Test Cases</t>
        </is>
      </c>
      <c r="B13" s="24">
        <f>COUNTIF('Requirements Traceability Matrix'!J5:J41,"&lt;&gt;*TBD*")</f>
        <v/>
      </c>
      <c r="C13" s="25">
        <f>B13/$B$7</f>
        <v/>
      </c>
      <c r="D13" s="26" t="inlineStr">
        <is>
          <t>COUNTIF(Test Case ID != '*TBD*')</t>
        </is>
      </c>
      <c r="E13" s="10" t="inlineStr">
        <is>
          <t>0.0% Linked (TBD Gap)</t>
        </is>
      </c>
      <c r="F13" s="26" t="inlineStr">
        <is>
          <t>AUDIT LIMITATION: 100% of Test Case IDs are TBD; test procedures in planning.</t>
        </is>
      </c>
    </row>
    <row r="14" ht="24" customHeight="1">
      <c r="A14" s="23" t="inlineStr">
        <is>
          <t>Requirements with Certified Verification Evidence Produced</t>
        </is>
      </c>
      <c r="B14" s="24">
        <f>COUNTIF('Requirements Traceability Matrix'!M5:M41,"Verified")</f>
        <v/>
      </c>
      <c r="C14" s="25">
        <f>B14/$B$7</f>
        <v/>
      </c>
      <c r="D14" s="26" t="inlineStr">
        <is>
          <t>COUNTIF(Verification Status == 'Verified')</t>
        </is>
      </c>
      <c r="E14" s="9" t="inlineStr">
        <is>
          <t>8.1% Verified (Documentation)</t>
        </is>
      </c>
      <c r="F14" s="26" t="inlineStr">
        <is>
          <t>Physical/software testing in M1-M5; only released deliverables (P01, P03, P09) verified.</t>
        </is>
      </c>
    </row>
    <row r="15" ht="24" customHeight="1">
      <c r="A15" s="23" t="inlineStr">
        <is>
          <t>Requirements Fully Traceable (End-to-End Auditable)</t>
        </is>
      </c>
      <c r="B15" s="24">
        <f>COUNTIF('Requirements Traceability Matrix'!N5:N41,"Fully Traceable")</f>
        <v/>
      </c>
      <c r="C15" s="25">
        <f>B15/$B$7</f>
        <v/>
      </c>
      <c r="D15" s="26" t="inlineStr">
        <is>
          <t>COUNTIF(Traceability Status == 'Fully Traceable')</t>
        </is>
      </c>
      <c r="E15" s="9" t="inlineStr">
        <is>
          <t>8.1% Fully Traceable</t>
        </is>
      </c>
      <c r="F15" s="26" t="inlineStr">
        <is>
          <t>3 documentation requirements fully traceable; 34 partial pending test cases &amp; logs.</t>
        </is>
      </c>
    </row>
    <row r="16" ht="24" customHeight="1">
      <c r="A16" s="23" t="inlineStr">
        <is>
          <t>Requirements with Missing Links or Unresolved Gaps</t>
        </is>
      </c>
      <c r="B16" s="24">
        <f>COUNTIF('Requirements Traceability Matrix'!N5:N41,"&lt;&gt;Fully Traceable")</f>
        <v/>
      </c>
      <c r="C16" s="25">
        <f>B16/$B$7</f>
        <v/>
      </c>
      <c r="D16" s="26" t="inlineStr">
        <is>
          <t>COUNTIF(Traceability Status != 'Fully Traceable')</t>
        </is>
      </c>
      <c r="E16" s="10" t="inlineStr">
        <is>
          <t>91.9% Partial / Blocked</t>
        </is>
      </c>
      <c r="F16" s="26" t="inlineStr">
        <is>
          <t>34 requirements pending formal test case ID allocation &amp; physical test execution.</t>
        </is>
      </c>
    </row>
    <row r="18" ht="24" customHeight="1">
      <c r="A18" s="22" t="inlineStr">
        <is>
          <t>2. TRACEABILITY COVERAGE BY REQUIREMENT CATEGORY</t>
        </is>
      </c>
    </row>
    <row r="19" ht="25" customHeight="1">
      <c r="A19" s="4" t="inlineStr">
        <is>
          <t>Requirement Category</t>
        </is>
      </c>
      <c r="B19" s="4" t="inlineStr">
        <is>
          <t>Total Reqs</t>
        </is>
      </c>
      <c r="C19" s="4" t="inlineStr">
        <is>
          <t>Acceptance Criteria Defined</t>
        </is>
      </c>
      <c r="D19" s="4" t="inlineStr">
        <is>
          <t>Test Cases Linked</t>
        </is>
      </c>
      <c r="E19" s="4" t="inlineStr">
        <is>
          <t>Verified Evidence Produced</t>
        </is>
      </c>
      <c r="F19" s="4" t="inlineStr">
        <is>
          <t>Fully Traceable Reqs (%)</t>
        </is>
      </c>
    </row>
    <row r="20" ht="22" customHeight="1">
      <c r="A20" s="27" t="inlineStr">
        <is>
          <t>Functional Requirements</t>
        </is>
      </c>
      <c r="B20" s="28">
        <f>COUNTIF('Requirements Traceability Matrix'!C5:C41,"Functional")</f>
        <v/>
      </c>
      <c r="C20" s="28">
        <f>COUNTIFS('Requirements Traceability Matrix'!C5:C41,"Functional",'Requirements Traceability Matrix'!I5:I41,"&lt;&gt;Pending Definition")</f>
        <v/>
      </c>
      <c r="D20" s="28">
        <f>COUNTIFS('Requirements Traceability Matrix'!C5:C41,"Functional",'Requirements Traceability Matrix'!J5:J41,"&lt;&gt;*TBD*")</f>
        <v/>
      </c>
      <c r="E20" s="28">
        <f>COUNTIFS('Requirements Traceability Matrix'!C5:C41,"Functional",'Requirements Traceability Matrix'!M5:M41,"Verified")</f>
        <v/>
      </c>
      <c r="F20" s="29">
        <f>COUNTIFS('Requirements Traceability Matrix'!C5:C41,"Functional",'Requirements Traceability Matrix'!N5:N41,"Fully Traceable")/B20</f>
        <v/>
      </c>
    </row>
    <row r="21" ht="22" customHeight="1">
      <c r="A21" s="27" t="inlineStr">
        <is>
          <t>Security Requirements</t>
        </is>
      </c>
      <c r="B21" s="28">
        <f>COUNTIF('Requirements Traceability Matrix'!C5:C41,"Security")</f>
        <v/>
      </c>
      <c r="C21" s="28">
        <f>COUNTIFS('Requirements Traceability Matrix'!C5:C41,"Security",'Requirements Traceability Matrix'!I5:I41,"&lt;&gt;Pending Definition")</f>
        <v/>
      </c>
      <c r="D21" s="28">
        <f>COUNTIFS('Requirements Traceability Matrix'!C5:C41,"Security",'Requirements Traceability Matrix'!J5:J41,"&lt;&gt;*TBD*")</f>
        <v/>
      </c>
      <c r="E21" s="28">
        <f>COUNTIFS('Requirements Traceability Matrix'!C5:C41,"Security",'Requirements Traceability Matrix'!M5:M41,"Verified")</f>
        <v/>
      </c>
      <c r="F21" s="29">
        <f>COUNTIFS('Requirements Traceability Matrix'!C5:C41,"Security",'Requirements Traceability Matrix'!N5:N41,"Fully Traceable")/B21</f>
        <v/>
      </c>
    </row>
    <row r="22" ht="22" customHeight="1">
      <c r="A22" s="27" t="inlineStr">
        <is>
          <t>Performance Requirements</t>
        </is>
      </c>
      <c r="B22" s="28">
        <f>COUNTIF('Requirements Traceability Matrix'!C5:C41,"Performance")</f>
        <v/>
      </c>
      <c r="C22" s="28">
        <f>COUNTIFS('Requirements Traceability Matrix'!C5:C41,"Performance",'Requirements Traceability Matrix'!I5:I41,"&lt;&gt;Pending Definition")</f>
        <v/>
      </c>
      <c r="D22" s="28">
        <f>COUNTIFS('Requirements Traceability Matrix'!C5:C41,"Performance",'Requirements Traceability Matrix'!J5:J41,"&lt;&gt;*TBD*")</f>
        <v/>
      </c>
      <c r="E22" s="28">
        <f>COUNTIFS('Requirements Traceability Matrix'!C5:C41,"Performance",'Requirements Traceability Matrix'!M5:M41,"Verified")</f>
        <v/>
      </c>
      <c r="F22" s="29">
        <f>COUNTIFS('Requirements Traceability Matrix'!C5:C41,"Performance",'Requirements Traceability Matrix'!N5:N41,"Fully Traceable")/B22</f>
        <v/>
      </c>
    </row>
    <row r="23" ht="22" customHeight="1">
      <c r="A23" s="27" t="inlineStr">
        <is>
          <t>Safety Requirements</t>
        </is>
      </c>
      <c r="B23" s="28">
        <f>COUNTIF('Requirements Traceability Matrix'!C5:C41,"Safety")</f>
        <v/>
      </c>
      <c r="C23" s="28">
        <f>COUNTIFS('Requirements Traceability Matrix'!C5:C41,"Safety",'Requirements Traceability Matrix'!I5:I41,"&lt;&gt;Pending Definition")</f>
        <v/>
      </c>
      <c r="D23" s="28">
        <f>COUNTIFS('Requirements Traceability Matrix'!C5:C41,"Safety",'Requirements Traceability Matrix'!J5:J41,"&lt;&gt;*TBD*")</f>
        <v/>
      </c>
      <c r="E23" s="28">
        <f>COUNTIFS('Requirements Traceability Matrix'!C5:C41,"Safety",'Requirements Traceability Matrix'!M5:M41,"Verified")</f>
        <v/>
      </c>
      <c r="F23" s="29">
        <f>COUNTIFS('Requirements Traceability Matrix'!C5:C41,"Safety",'Requirements Traceability Matrix'!N5:N41,"Fully Traceable")/B23</f>
        <v/>
      </c>
    </row>
    <row r="24" ht="22" customHeight="1">
      <c r="A24" s="27" t="inlineStr">
        <is>
          <t>Documentation Requirements</t>
        </is>
      </c>
      <c r="B24" s="28">
        <f>COUNTIF('Requirements Traceability Matrix'!C5:C41,"Documentation")</f>
        <v/>
      </c>
      <c r="C24" s="28">
        <f>COUNTIFS('Requirements Traceability Matrix'!C5:C41,"Documentation",'Requirements Traceability Matrix'!I5:I41,"&lt;&gt;Pending Definition")</f>
        <v/>
      </c>
      <c r="D24" s="28">
        <f>COUNTIFS('Requirements Traceability Matrix'!C5:C41,"Documentation",'Requirements Traceability Matrix'!J5:J41,"&lt;&gt;*TBD*")</f>
        <v/>
      </c>
      <c r="E24" s="28">
        <f>COUNTIFS('Requirements Traceability Matrix'!C5:C41,"Documentation",'Requirements Traceability Matrix'!M5:M41,"Verified")</f>
        <v/>
      </c>
      <c r="F24" s="30">
        <f>COUNTIFS('Requirements Traceability Matrix'!C5:C41,"Documentation",'Requirements Traceability Matrix'!N5:N41,"Fully Traceable")/B24</f>
        <v/>
      </c>
    </row>
    <row r="25" ht="24" customHeight="1">
      <c r="A25" s="31" t="inlineStr">
        <is>
          <t>TOTAL SYSTEM REQUIREMENTS</t>
        </is>
      </c>
      <c r="B25" s="32">
        <f>SUM(B20:B24)</f>
        <v/>
      </c>
      <c r="C25" s="32">
        <f>SUM(C20:C24)</f>
        <v/>
      </c>
      <c r="D25" s="32">
        <f>SUM(D20:D24)</f>
        <v/>
      </c>
      <c r="E25" s="32">
        <f>SUM(E20:E24)</f>
        <v/>
      </c>
      <c r="F25" s="33">
        <f>E25/B25</f>
        <v/>
      </c>
    </row>
    <row r="27" ht="24" customHeight="1">
      <c r="A27" s="22" t="inlineStr">
        <is>
          <t>3. FORMAL DEFINITION OF FULL TRACEABILITY &amp; AUDIT CRITERIA</t>
        </is>
      </c>
    </row>
    <row r="28">
      <c r="A28" s="6" t="inlineStr">
        <is>
          <t>MANDATORY AUDIT CRITERIA FOR FULL TRACEABILITY:
A system requirement is classified as 'Fully Traceable' if and only if all seven (7) architectural linkage pillars are formally established, verified, and evidenced:
  1. Verified Source Link: Exact originating reference in REA-T1-OVERVIEW-2026-V1.0 (Section &amp; Page number).
  2. Subsystem &amp; PECLF Layer Allocation: Formal mapping to one of the 18 architecture modules (MOD-01 through MOD-18) and PECLF Layers A–H.
  3. Interface Specification Mapping: Linkage to defined hardware/software interface IDs (IF-001 through IF-026) or documented N/A for physical/environmental parameters.
  4. Standardized Verification Method: Explicit assignment of Test, Demonstration, Inspection, or Analysis in accordance with iDEX evaluation guidelines.
  5. Baselined Acceptance Criteria: Defined quantitative verification thresholds (AC-x.x) specifying measurable pass/fail parameters.
  6. Allocated Test Case ID: Direct linkage to a unique, configuration-controlled test case identifier in the System Verification Plan (SVP).
  7. Certified Verification Evidence: Signed test logs, logic analyzer traces, environmental chamber telemetry, or baselined deliverable documents.
HONEST AUDIT INTEGRITY DECLARATION:
In strict adherence to defense systems engineering discipline, a planned test procedure is NOT proof that verification has passed. Currently, 34 of 37 requirements have Test Case IDs marked as 'TBD' and verification execution evidence pending physical test runs in Milestones M1 through M5. Rather than fabricating placeholder test IDs to artificially simulate 100% full coverage, this RTM truthfully records the current engineering state (8.1% fully traceable, 91.9% partial traceability pending test cases &amp; execution).</t>
        </is>
      </c>
      <c r="B28" s="34" t="n"/>
      <c r="C28" s="34" t="n"/>
      <c r="D28" s="34" t="n"/>
      <c r="E28" s="34" t="n"/>
      <c r="F28" s="34" t="n"/>
    </row>
    <row r="29">
      <c r="A29" s="34" t="n"/>
      <c r="B29" s="34" t="n"/>
      <c r="C29" s="34" t="n"/>
      <c r="D29" s="34" t="n"/>
      <c r="E29" s="34" t="n"/>
      <c r="F29" s="34" t="n"/>
    </row>
    <row r="30">
      <c r="A30" s="34" t="n"/>
      <c r="B30" s="34" t="n"/>
      <c r="C30" s="34" t="n"/>
      <c r="D30" s="34" t="n"/>
      <c r="E30" s="34" t="n"/>
      <c r="F30" s="34" t="n"/>
    </row>
    <row r="31">
      <c r="A31" s="34" t="n"/>
      <c r="B31" s="34" t="n"/>
      <c r="C31" s="34" t="n"/>
      <c r="D31" s="34" t="n"/>
      <c r="E31" s="34" t="n"/>
      <c r="F31" s="34" t="n"/>
    </row>
    <row r="32">
      <c r="A32" s="34" t="n"/>
      <c r="B32" s="34" t="n"/>
      <c r="C32" s="34" t="n"/>
      <c r="D32" s="34" t="n"/>
      <c r="E32" s="34" t="n"/>
      <c r="F32" s="34" t="n"/>
    </row>
    <row r="33">
      <c r="A33" s="34" t="n"/>
      <c r="B33" s="34" t="n"/>
      <c r="C33" s="34" t="n"/>
      <c r="D33" s="34" t="n"/>
      <c r="E33" s="34" t="n"/>
      <c r="F33" s="34" t="n"/>
    </row>
    <row r="35" ht="24" customHeight="1">
      <c r="A35" s="22" t="inlineStr">
        <is>
          <t>4. PRIMARY BLOCKERS PREVENTING FULL TRACEABILITY &amp; RESOLUTION ROADMAP</t>
        </is>
      </c>
    </row>
    <row r="36" ht="25" customHeight="1">
      <c r="A36" s="4" t="inlineStr">
        <is>
          <t>Blocker ID</t>
        </is>
      </c>
      <c r="B36" s="4" t="inlineStr">
        <is>
          <t>Blocker Classification</t>
        </is>
      </c>
      <c r="C36" s="4" t="inlineStr">
        <is>
          <t>Impacted Scope</t>
        </is>
      </c>
      <c r="D36" s="4" t="inlineStr">
        <is>
          <t>Root Cause &amp; Engineering Barrier</t>
        </is>
      </c>
      <c r="E36" s="4" t="inlineStr">
        <is>
          <t>Required Resolution &amp; Governance Gate</t>
        </is>
      </c>
      <c r="F36" s="4" t="inlineStr">
        <is>
          <t>Target Milestone</t>
        </is>
      </c>
    </row>
    <row r="37" ht="36" customHeight="1">
      <c r="A37" s="35" t="inlineStr">
        <is>
          <t>BLK-001</t>
        </is>
      </c>
      <c r="B37" s="27" t="inlineStr">
        <is>
          <t>Test Plan Allocation Gap</t>
        </is>
      </c>
      <c r="C37" s="28" t="inlineStr">
        <is>
          <t>37 Requirements (100%)</t>
        </is>
      </c>
      <c r="D37" s="26" t="inlineStr">
        <is>
          <t>Detailed Master Test Plan (MTP) and individual Test Case IDs (TC-xxx) have not yet been formally issued by the Verification Team.</t>
        </is>
      </c>
      <c r="E37" s="26" t="inlineStr">
        <is>
          <t>Draft and baseline formal System Verification Plan (SVP) allocating discrete Test Case IDs for each of the 116 AC criteria.</t>
        </is>
      </c>
      <c r="F37" s="36" t="inlineStr">
        <is>
          <t>Milestone 1 (Month 4)</t>
        </is>
      </c>
    </row>
    <row r="38" ht="36" customHeight="1">
      <c r="A38" s="35" t="inlineStr">
        <is>
          <t>BLK-002</t>
        </is>
      </c>
      <c r="B38" s="27" t="inlineStr">
        <is>
          <t>Hardware Sensor Specifications</t>
        </is>
      </c>
      <c r="C38" s="28" t="inlineStr">
        <is>
          <t>REQ-F-001, REQ-F-002, REQ-F-003</t>
        </is>
      </c>
      <c r="D38" s="26" t="inlineStr">
        <is>
          <t>Commercial vendor selection for daylight optical CMOS, uncooled LWIR bolometer, micro-GPR, and acoustic array pending procurement freeze.</t>
        </is>
      </c>
      <c r="E38" s="26" t="inlineStr">
        <is>
          <t>Issue Sensor Procurement ICD specifying optical resolution, lens FOV, radar center frequency, and acoustic sampling rate.</t>
        </is>
      </c>
      <c r="F38" s="36" t="inlineStr">
        <is>
          <t>Milestone 2 (Month 5)</t>
        </is>
      </c>
    </row>
    <row r="39" ht="36" customHeight="1">
      <c r="A39" s="35" t="inlineStr">
        <is>
          <t>BLK-003</t>
        </is>
      </c>
      <c r="B39" s="27" t="inlineStr">
        <is>
          <t>Safety Standard &amp; DAL Allocation</t>
        </is>
      </c>
      <c r="C39" s="28" t="inlineStr">
        <is>
          <t>REQ-S-002, REQ-S-001</t>
        </is>
      </c>
      <c r="D39" s="26" t="inlineStr">
        <is>
          <t>Applicable safety standard (DO-178C/DO-254 vs Def-Stan 00-56) and subsystem Design Assurance Levels (DAL A through D) unassigned.</t>
        </is>
      </c>
      <c r="E39" s="26" t="inlineStr">
        <is>
          <t>Convening of Systems Engineering Review Board (SERB) to formally allocate DAL levels to flight autopilot (DAL B) and AI compute (DAL D).</t>
        </is>
      </c>
      <c r="F39" s="36" t="inlineStr">
        <is>
          <t>Milestone 1 (Month 4)</t>
        </is>
      </c>
    </row>
    <row r="40" ht="36" customHeight="1">
      <c r="A40" s="35" t="inlineStr">
        <is>
          <t>BLK-004</t>
        </is>
      </c>
      <c r="B40" s="27" t="inlineStr">
        <is>
          <t>Physical Testing Execution</t>
        </is>
      </c>
      <c r="C40" s="28" t="inlineStr">
        <is>
          <t>34 Requirements (91.9%)</t>
        </is>
      </c>
      <c r="D40" s="26" t="inlineStr">
        <is>
          <t>RE-T1 platform currently in Milestone 1 (SRS Freeze &amp; Gazebo Digital Twin); physical benchtop HIL, environmental chambers, and flight testing occur in M2-M5.</t>
        </is>
      </c>
      <c r="E40" s="26" t="inlineStr">
        <is>
          <t>Ascend 10-Tier Validation Ladder through Tier 3 (HIL), Tier 5 (Thermal Chamber), Tier 8 (GNSS-Denied), and Tier 10 (Field Demonstrator).</t>
        </is>
      </c>
      <c r="F40" s="36" t="inlineStr">
        <is>
          <t>Milestones M2–M5 (Months 5–18)</t>
        </is>
      </c>
    </row>
  </sheetData>
  <mergeCells count="8">
    <mergeCell ref="A2:F2"/>
    <mergeCell ref="A28:F33"/>
    <mergeCell ref="A1:F1"/>
    <mergeCell ref="A5:F5"/>
    <mergeCell ref="A27:F27"/>
    <mergeCell ref="A18:F18"/>
    <mergeCell ref="A35:F35"/>
    <mergeCell ref="A3:F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1"/>
  <sheetViews>
    <sheetView showGridLines="1" workbookViewId="0">
      <pane ySplit="4" topLeftCell="A5" activePane="bottomLeft" state="frozen"/>
      <selection pane="bottomLeft" activeCell="A1" sqref="A1"/>
    </sheetView>
  </sheetViews>
  <sheetFormatPr baseColWidth="8" defaultRowHeight="15"/>
  <cols>
    <col width="16" customWidth="1" min="1" max="1"/>
    <col width="22" customWidth="1" min="2" max="2"/>
    <col width="26" customWidth="1" min="3" max="3"/>
    <col width="42" customWidth="1" min="4" max="4"/>
    <col width="38" customWidth="1" min="5" max="5"/>
    <col width="36" customWidth="1" min="6" max="6"/>
    <col width="42" customWidth="1" min="7" max="7"/>
    <col width="28" customWidth="1" min="8" max="8"/>
  </cols>
  <sheetData>
    <row r="1">
      <c r="A1" s="1" t="inlineStr">
        <is>
          <t>RUDRAEDGE RE-T1 (SPECTRA) — TRACEABILITY REVIEW ISSUES &amp; TECHNICAL GAPS</t>
        </is>
      </c>
    </row>
    <row r="2">
      <c r="A2" s="2" t="inlineStr">
        <is>
          <t>Actionable Engineering Discrepancy Log: Missing Links, Test Gaps, Specification Ambiguities &amp; Resolution Actions</t>
        </is>
      </c>
    </row>
    <row r="3">
      <c r="A3" s="3" t="inlineStr">
        <is>
          <t>Cross-Referenced to P05 Quality Audit, P06 Open Questions, and P07 Interface Gaps | Target Standard: iDEX / DIO / MoD</t>
        </is>
      </c>
    </row>
    <row r="4" ht="28" customHeight="1">
      <c r="A4" s="4" t="inlineStr">
        <is>
          <t>Issue ID</t>
        </is>
      </c>
      <c r="B4" s="4" t="inlineStr">
        <is>
          <t>Associated REQ ID(s)</t>
        </is>
      </c>
      <c r="C4" s="4" t="inlineStr">
        <is>
          <t>Issue Classification / Type</t>
        </is>
      </c>
      <c r="D4" s="4" t="inlineStr">
        <is>
          <t>Issue Description &amp; Identified Discrepancy</t>
        </is>
      </c>
      <c r="E4" s="4" t="inlineStr">
        <is>
          <t>Engineering Impact &amp; Traceability Risk</t>
        </is>
      </c>
      <c r="F4" s="4" t="inlineStr">
        <is>
          <t>Root Cause / Source Document Discrepancy</t>
        </is>
      </c>
      <c r="G4" s="4" t="inlineStr">
        <is>
          <t>Recommended Follow-up Action</t>
        </is>
      </c>
      <c r="H4" s="4" t="inlineStr">
        <is>
          <t>Owner &amp; Target Milestone</t>
        </is>
      </c>
    </row>
    <row r="5" ht="45" customHeight="1">
      <c r="A5" s="5" t="inlineStr">
        <is>
          <t>RTM-ISSUE-001</t>
        </is>
      </c>
      <c r="B5" s="37" t="inlineStr">
        <is>
          <t>ALL (37 REQs)</t>
        </is>
      </c>
      <c r="C5" s="16" t="inlineStr">
        <is>
          <t>Missing Test Case IDs</t>
        </is>
      </c>
      <c r="D5" s="6" t="inlineStr">
        <is>
          <t>Universal omission of formal Test Case IDs across all 37 requirements in P03 and P04 (currently marked 'TBD').</t>
        </is>
      </c>
      <c r="E5" s="6" t="inlineStr">
        <is>
          <t>Prevents formal forward traceability from requirements to test procedures; prevents automated test harness execution.</t>
        </is>
      </c>
      <c r="F5" s="6" t="inlineStr">
        <is>
          <t>System Verification Plan (SVP) currently in authoring phase; test procedure numbering unbaselined in M1.</t>
        </is>
      </c>
      <c r="G5" s="6" t="inlineStr">
        <is>
          <t>Author System Verification Plan (SVP) establishing discrete Test Case IDs (e.g., TC-F-001-A) mapping 1-to-1 to each AC item.</t>
        </is>
      </c>
      <c r="H5" s="38" t="inlineStr">
        <is>
          <t>Verification Team | Milestone 1 (M4)</t>
        </is>
      </c>
    </row>
    <row r="6" ht="45" customHeight="1">
      <c r="A6" s="11" t="inlineStr">
        <is>
          <t>RTM-ISSUE-002</t>
        </is>
      </c>
      <c r="B6" s="39" t="inlineStr">
        <is>
          <t>34 Requirements</t>
        </is>
      </c>
      <c r="C6" s="16" t="inlineStr">
        <is>
          <t>Missing Verification Evidence</t>
        </is>
      </c>
      <c r="D6" s="12" t="inlineStr">
        <is>
          <t>Physical test execution logs, oscilloscope traces, and environmental telemetry are unavailable for all 34 hardware/software requirements.</t>
        </is>
      </c>
      <c r="E6" s="12" t="inlineStr">
        <is>
          <t>Requirements cannot be certified as 'Verified' or 'Fully Traceable' under iDEX evaluation standards without verified test logs.</t>
        </is>
      </c>
      <c r="F6" s="12" t="inlineStr">
        <is>
          <t>Project is in Milestone 1 lifecycle stage (Architecture &amp; Digital Twin); physical benchtop and flight testing occur in M2-M5.</t>
        </is>
      </c>
      <c r="G6" s="12" t="inlineStr">
        <is>
          <t>Execute 10-Tier Validation Ladder sequentially; archive signed test logs in HIL test reports (P09/P05/P06 deliverables).</t>
        </is>
      </c>
      <c r="H6" s="40" t="inlineStr">
        <is>
          <t>Test Engineering Lead | Milestones M2-M5</t>
        </is>
      </c>
    </row>
    <row r="7" ht="45" customHeight="1">
      <c r="A7" s="5" t="inlineStr">
        <is>
          <t>RTM-ISSUE-003</t>
        </is>
      </c>
      <c r="B7" s="37" t="inlineStr">
        <is>
          <t>ALL (37 REQs)</t>
        </is>
      </c>
      <c r="C7" s="16" t="inlineStr">
        <is>
          <t>Missing Verification Reference Document</t>
        </is>
      </c>
      <c r="D7" s="6" t="inlineStr">
        <is>
          <t>Column 11 of P03 ('Verification Reference / Test Case ID') lists 'Pending Definition' without referencing a parent test specification document.</t>
        </is>
      </c>
      <c r="E7" s="6" t="inlineStr">
        <is>
          <t>Auditors cannot determine which formal testing document governs compliance verification for each requirement.</t>
        </is>
      </c>
      <c r="F7" s="6" t="inlineStr">
        <is>
          <t>Lack of unified test document naming hierarchy during initial Day 2 requirements numbering.</t>
        </is>
      </c>
      <c r="G7" s="6" t="inlineStr">
        <is>
          <t>Update Column 11 in P03 to formally cite document identifier 'REA-T1-SVP-2026-V1.0' alongside allocated test case numbers.</t>
        </is>
      </c>
      <c r="H7" s="38" t="inlineStr">
        <is>
          <t>Configuration Control Board | Milestone 1 (M4)</t>
        </is>
      </c>
    </row>
    <row r="8" ht="45" customHeight="1">
      <c r="A8" s="11" t="inlineStr">
        <is>
          <t>RTM-ISSUE-004</t>
        </is>
      </c>
      <c r="B8" s="39" t="inlineStr">
        <is>
          <t>REQ-F-001</t>
        </is>
      </c>
      <c r="C8" s="16" t="inlineStr">
        <is>
          <t>Missing Specification / Ambiguity</t>
        </is>
      </c>
      <c r="D8" s="12" t="inlineStr">
        <is>
          <t>Optical camera sensor specifications omitted in requirement text (resolution 4K vs 1080p, lens FOV, optical zoom factor undefined).</t>
        </is>
      </c>
      <c r="E8" s="12" t="inlineStr">
        <is>
          <t>Risk of procuring camera hardware incompatible with MIPI-CSI bandwidth or inadequate for tactical target detection at altitude.</t>
        </is>
      </c>
      <c r="F8" s="12" t="inlineStr">
        <is>
          <t>REA-T1-OVERVIEW-2026-V1.0 p. 5, 8 specifies 'daylight optical CMOS + LWIR' but omits sensor payload data sheets (P05 ISSUE-001).</t>
        </is>
      </c>
      <c r="G8" s="12" t="inlineStr">
        <is>
          <t>Baseline optical sensor resolution (&gt;= 1080p), horizontal FOV (&gt;= 60 deg), and zoom ratios in the Sensor ICD.</t>
        </is>
      </c>
      <c r="H8" s="40" t="inlineStr">
        <is>
          <t>Sensor Lead / Systems Eng | Milestone 2 (M5)</t>
        </is>
      </c>
    </row>
    <row r="9" ht="45" customHeight="1">
      <c r="A9" s="5" t="inlineStr">
        <is>
          <t>RTM-ISSUE-005</t>
        </is>
      </c>
      <c r="B9" s="37" t="inlineStr">
        <is>
          <t>REQ-F-002</t>
        </is>
      </c>
      <c r="C9" s="16" t="inlineStr">
        <is>
          <t>Missing Specification / Ambiguity</t>
        </is>
      </c>
      <c r="D9" s="6" t="inlineStr">
        <is>
          <t>Micro-GPR operating center frequency, RF sweep bandwidth, PRF, and subsurface soil/ice penetration depth undefined.</t>
        </is>
      </c>
      <c r="E9" s="6" t="inlineStr">
        <is>
          <t>Radar engineering team cannot design front-end antenna, FIR filter kernels, or IQ sample buffer dimensions without RF bounds.</t>
        </is>
      </c>
      <c r="F9" s="6" t="inlineStr">
        <is>
          <t>Proposal references micro-GPR for subsurface anomaly detection without freezing RF operational bands (P05 ISSUE-002).</t>
        </is>
      </c>
      <c r="G9" s="6" t="inlineStr">
        <is>
          <t>Formally specify GPR center frequency (e.g., 500 MHz-1.5 GHz) and penetration depth (&gt;= 1.5 m in Siachen ice) in Radar ICD.</t>
        </is>
      </c>
      <c r="H9" s="38" t="inlineStr">
        <is>
          <t>RF Payload Lead | Milestone 2 (M5)</t>
        </is>
      </c>
    </row>
    <row r="10" ht="45" customHeight="1">
      <c r="A10" s="11" t="inlineStr">
        <is>
          <t>RTM-ISSUE-006</t>
        </is>
      </c>
      <c r="B10" s="39" t="inlineStr">
        <is>
          <t>REQ-F-003</t>
        </is>
      </c>
      <c r="C10" s="16" t="inlineStr">
        <is>
          <t>Missing Specification / Ambiguity</t>
        </is>
      </c>
      <c r="D10" s="12" t="inlineStr">
        <is>
          <t>Acoustic microphone array sampling rate (kHz), dynamic range, and wind shear noise filtering suppression limits missing.</t>
        </is>
      </c>
      <c r="E10" s="12" t="inlineStr">
        <is>
          <t>TDoA direction-finding DSP algorithm may fail in high-wind Himalayan environments due to acoustic clipping and turbulence noise.</t>
        </is>
      </c>
      <c r="F10" s="12" t="inlineStr">
        <is>
          <t>P03 and REA-T1 establish 4-channel acoustic ingress but omit acoustic signal processing parameters (P05 ISSUE-003).</t>
        </is>
      </c>
      <c r="G10" s="12" t="inlineStr">
        <is>
          <t>Specify acoustic sampling rate (&gt;= 48 kHz, 24-bit ADC) and aerodynamic wind screen attenuation specs in Acoustic Subsystem Spec.</t>
        </is>
      </c>
      <c r="H10" s="40" t="inlineStr">
        <is>
          <t>DSP Systems Lead | Milestone 2 (M6)</t>
        </is>
      </c>
    </row>
    <row r="11" ht="45" customHeight="1">
      <c r="A11" s="5" t="inlineStr">
        <is>
          <t>RTM-ISSUE-007</t>
        </is>
      </c>
      <c r="B11" s="37" t="inlineStr">
        <is>
          <t>REQ-F-006</t>
        </is>
      </c>
      <c r="C11" s="15" t="inlineStr">
        <is>
          <t>Unclear Acceptance Criteria / Ambiguity</t>
        </is>
      </c>
      <c r="D11" s="6" t="inlineStr">
        <is>
          <t>Target classification taxonomy and minimum acceptable mean Average Precision (mAP@0.50) undefined in requirement text.</t>
        </is>
      </c>
      <c r="E11" s="6" t="inlineStr">
        <is>
          <t>Subjective definition of 'tactical targets' risks dispute during iDEX evaluation regarding detection pass/fail benchmarks.</t>
        </is>
      </c>
      <c r="F11" s="6" t="inlineStr">
        <is>
          <t>COTS proposal text referenced YOLOv8; architectural overview generalized to edge neural models without taxonomy (P05 ISSUE-004).</t>
        </is>
      </c>
      <c r="G11" s="6" t="inlineStr">
        <is>
          <t>Define formal taxonomy (military vehicles, dismounted personnel, bunker fortifications) and baseline mAP@0.50 &gt;= 0.70 at 1080p.</t>
        </is>
      </c>
      <c r="H11" s="38" t="inlineStr">
        <is>
          <t>AI &amp; Vision Lead | Milestone 1 (M3)</t>
        </is>
      </c>
    </row>
    <row r="12" ht="45" customHeight="1">
      <c r="A12" s="11" t="inlineStr">
        <is>
          <t>RTM-ISSUE-008</t>
        </is>
      </c>
      <c r="B12" s="39" t="inlineStr">
        <is>
          <t>REQ-F-007</t>
        </is>
      </c>
      <c r="C12" s="16" t="inlineStr">
        <is>
          <t>Missing Acceptance Criteria / Ambiguity</t>
        </is>
      </c>
      <c r="D12" s="12" t="inlineStr">
        <is>
          <t>Vision transformer pixel-level semantic segmentation lacks standardized terrain classes and minimum acceptable mIoU score.</t>
        </is>
      </c>
      <c r="E12" s="12" t="inlineStr">
        <is>
          <t>Impedes validation of obstacle avoidance and safe emergency landing zone identification routines.</t>
        </is>
      </c>
      <c r="F12" s="12" t="inlineStr">
        <is>
          <t>Architectural overview specifies semantic segmentation without standard semantic class dictionary (P05 ISSUE-005).</t>
        </is>
      </c>
      <c r="G12" s="12" t="inlineStr">
        <is>
          <t>Establish semantic terrain class labels (snow, ice, bare rock, vegetation, water, structure) and baseline mIoU &gt;= 75%.</t>
        </is>
      </c>
      <c r="H12" s="40" t="inlineStr">
        <is>
          <t>AI &amp; Vision Lead | Milestone 1 (M4)</t>
        </is>
      </c>
    </row>
    <row r="13" ht="45" customHeight="1">
      <c r="A13" s="5" t="inlineStr">
        <is>
          <t>RTM-ISSUE-009</t>
        </is>
      </c>
      <c r="B13" s="37" t="inlineStr">
        <is>
          <t>REQ-F-008</t>
        </is>
      </c>
      <c r="C13" s="16" t="inlineStr">
        <is>
          <t>Missing Specification / Ambiguity</t>
        </is>
      </c>
      <c r="D13" s="6" t="inlineStr">
        <is>
          <t>Temporal visual change detection lacks historical terrain embedding storage format, geo-registration tolerance, and disturbance bounds.</t>
        </is>
      </c>
      <c r="E13" s="6" t="inlineStr">
        <is>
          <t>Comparative change algorithm may trigger excessive false positive alerts from cloud shadows, snowmelt, or minor sensor parallax.</t>
        </is>
      </c>
      <c r="F13" s="6" t="inlineStr">
        <is>
          <t>REA-T1-OVERVIEW-2026-V1.0 establishes change detection capability but lacks spatial resolution bounds (P05 ISSUE-006).</t>
        </is>
      </c>
      <c r="G13" s="6" t="inlineStr">
        <is>
          <t>Baseline embedding vector format, spatial registration tolerance (&lt;= 0.5 m), and minimum disturbance area (&gt;= 2.0 m^2).</t>
        </is>
      </c>
      <c r="H13" s="38" t="inlineStr">
        <is>
          <t>AI &amp; Intelligence Lead | Milestone 2 (M6)</t>
        </is>
      </c>
    </row>
    <row r="14" ht="45" customHeight="1">
      <c r="A14" s="11" t="inlineStr">
        <is>
          <t>RTM-ISSUE-010</t>
        </is>
      </c>
      <c r="B14" s="39" t="inlineStr">
        <is>
          <t>REQ-F-010, REQ-P-006</t>
        </is>
      </c>
      <c r="C14" s="16" t="inlineStr">
        <is>
          <t>Functional / Performance Overlap</t>
        </is>
      </c>
      <c r="D14" s="12" t="inlineStr">
        <is>
          <t>REQ-F-010 mandates FSO laser telemetry transmission; REQ-P-006 specifies throughput (1.2 Gbps) and range (18 km) without cross-reference.</t>
        </is>
      </c>
      <c r="E14" s="12" t="inlineStr">
        <is>
          <t>Redundant verification planning where functional demonstration is evaluated separately from optical link performance limits.</t>
        </is>
      </c>
      <c r="F14" s="12" t="inlineStr">
        <is>
          <t>P02 draft requirements separated functional ingress from quantitative performance without traceability cross-links (P05 FIND-DUP-001).</t>
        </is>
      </c>
      <c r="G14" s="12" t="inlineStr">
        <is>
          <t>Unify verification under a single Master FSO Test Procedure evaluating throughput and link margin across range boundaries.</t>
        </is>
      </c>
      <c r="H14" s="40" t="inlineStr">
        <is>
          <t>Optical Comm Lead | Milestone 2 (M7)</t>
        </is>
      </c>
    </row>
    <row r="15" ht="45" customHeight="1">
      <c r="A15" s="5" t="inlineStr">
        <is>
          <t>RTM-ISSUE-011</t>
        </is>
      </c>
      <c r="B15" s="37" t="inlineStr">
        <is>
          <t>REQ-F-011</t>
        </is>
      </c>
      <c r="C15" s="16" t="inlineStr">
        <is>
          <t>Missing Specification / Ambiguity</t>
        </is>
      </c>
      <c r="D15" s="6" t="inlineStr">
        <is>
          <t>FSO Pointing, Acquisition and Tracking (PAT) lacks beam pointing jitter limits (microradians) and optical link re-acquisition budget.</t>
        </is>
      </c>
      <c r="E15" s="6" t="inlineStr">
        <is>
          <t>High-altitude mountain turbulence may break optical beam tracking without a defined re-acquisition timeout protocol.</t>
        </is>
      </c>
      <c r="F15" s="6" t="inlineStr">
        <is>
          <t>REA-T1 specifies coarse-fine tracking mirror but omits numerical angular jitter bounds (P05 ISSUE-007).</t>
        </is>
      </c>
      <c r="G15" s="6" t="inlineStr">
        <is>
          <t>Baseline coarse gimbal accuracy (&lt;= 1.0 mrad), fast steering mirror jitter (&lt;= 50 urad), and re-acquisition budget (&lt;= 2.0 s).</t>
        </is>
      </c>
      <c r="H15" s="38" t="inlineStr">
        <is>
          <t>GNC &amp; Optical Lead | Milestone 2 (M7)</t>
        </is>
      </c>
    </row>
    <row r="16" ht="45" customHeight="1">
      <c r="A16" s="11" t="inlineStr">
        <is>
          <t>RTM-ISSUE-012</t>
        </is>
      </c>
      <c r="B16" s="39" t="inlineStr">
        <is>
          <t>REQ-F-013, REQ-P-002</t>
        </is>
      </c>
      <c r="C16" s="41" t="inlineStr">
        <is>
          <t>Critical SWaP-C / Environmental Tension</t>
        </is>
      </c>
      <c r="D16" s="12" t="inlineStr">
        <is>
          <t>Payload release pod lacks maximum cargo mass capacity (kg) and delivery CEP radius; potential conflict with 6000 m service ceiling.</t>
        </is>
      </c>
      <c r="E16" s="12" t="inlineStr">
        <is>
          <t>Excessive cargo payload mass will severely degrade aerodynamic lift and service ceiling in low-density Siachen air.</t>
        </is>
      </c>
      <c r="F16" s="12" t="inlineStr">
        <is>
          <t>Physical payload drop requirement drafted without cross-referencing high-altitude electric motor thrust curves (P05 ISSUE-019).</t>
        </is>
      </c>
      <c r="G16" s="12" t="inlineStr">
        <is>
          <t>Establish strict payload mass budget (max 3.5 kg cargo) and define delivery CEP radius (&lt;= 5.0 m from release altitude).</t>
        </is>
      </c>
      <c r="H16" s="40" t="inlineStr">
        <is>
          <t>Chief Systems Engineer | Milestone 1 (M4)</t>
        </is>
      </c>
    </row>
    <row r="17" ht="45" customHeight="1">
      <c r="A17" s="5" t="inlineStr">
        <is>
          <t>RTM-ISSUE-013</t>
        </is>
      </c>
      <c r="B17" s="37" t="inlineStr">
        <is>
          <t>REQ-P-001</t>
        </is>
      </c>
      <c r="C17" s="15" t="inlineStr">
        <is>
          <t>Specification Discrepancy</t>
        </is>
      </c>
      <c r="D17" s="6" t="inlineStr">
        <is>
          <t>Flight control inner-loop execution latency target has discrepancy between REA-T1 (&lt; 1.0 ms) and P02 draft (&lt; 2.0 ms).</t>
        </is>
      </c>
      <c r="E17" s="6" t="inlineStr">
        <is>
          <t>Creates ambiguity in firmware timing verification on bare-metal STM32H7 microcontrollers.</t>
        </is>
      </c>
      <c r="F17" s="6" t="inlineStr">
        <is>
          <t>P02 draft established relaxed 2 ms bound; REA-T1 Tier 3 exit criteria tightened bound to &lt; 1.0 ms (P05 ISSUE-009).</t>
        </is>
      </c>
      <c r="G17" s="6" t="inlineStr">
        <is>
          <t>Formally confirm &lt; 1.0 ms deterministic latency bound for attitude PID inner loop; document 2.0 ms as outer navigation loop bound.</t>
        </is>
      </c>
      <c r="H17" s="38" t="inlineStr">
        <is>
          <t>Avionics Firmware Lead | Milestone 1 (M3)</t>
        </is>
      </c>
    </row>
    <row r="18" ht="45" customHeight="1">
      <c r="A18" s="11" t="inlineStr">
        <is>
          <t>RTM-ISSUE-014</t>
        </is>
      </c>
      <c r="B18" s="39" t="inlineStr">
        <is>
          <t>REQ-P-003</t>
        </is>
      </c>
      <c r="C18" s="16" t="inlineStr">
        <is>
          <t>Missing Specification / Ambiguity</t>
        </is>
      </c>
      <c r="D18" s="12" t="inlineStr">
        <is>
          <t>Mountain wind shear resistance lacks gust duration (seconds), gust profile (Dryden/von Karman), and attitude excursion limits.</t>
        </is>
      </c>
      <c r="E18" s="12" t="inlineStr">
        <is>
          <t>Cannot validate autopilot flight stabilization in SITL/HIL simulation without standardized mountain wind turbulence spectra.</t>
        </is>
      </c>
      <c r="F18" s="12" t="inlineStr">
        <is>
          <t>REA-T1-OVERVIEW-2026-V1.0 cites Siachen wind shear but omits numeric aerodynamic gust specifications (P05 ISSUE-010).</t>
        </is>
      </c>
      <c r="G18" s="12" t="inlineStr">
        <is>
          <t>Define MIL-F-8785C mountain wind shear model with peak gusts of 25 m/s (10 s duration) and max attitude excursion &lt;= 10 deg.</t>
        </is>
      </c>
      <c r="H18" s="40" t="inlineStr">
        <is>
          <t>Aero &amp; Flight Dynamics Lead | Milestone 1 (M3)</t>
        </is>
      </c>
    </row>
    <row r="19" ht="45" customHeight="1">
      <c r="A19" s="5" t="inlineStr">
        <is>
          <t>RTM-ISSUE-015</t>
        </is>
      </c>
      <c r="B19" s="37" t="inlineStr">
        <is>
          <t>REQ-P-004</t>
        </is>
      </c>
      <c r="C19" s="41" t="inlineStr">
        <is>
          <t>Critical Specification Conflict</t>
        </is>
      </c>
      <c r="D19" s="6" t="inlineStr">
        <is>
          <t>Sub-zero thermal operating envelope conflicts between REA-T1 M2/Tier 5 (-20°C) and P02/Siachen operational context (-40°C).</t>
        </is>
      </c>
      <c r="E19" s="6" t="inlineStr">
        <is>
          <t>Validating avionics only down to -20°C risks complete platform power or structural failure under extreme Siachen -40°C conditions.</t>
        </is>
      </c>
      <c r="F19" s="6" t="inlineStr">
        <is>
          <t>Milestone 2 specifies benchtop thermal chamber testing to -20°C; Siachen operational profile reaches -40°C (P05 ISSUE-011).</t>
        </is>
      </c>
      <c r="G19" s="6" t="inlineStr">
        <is>
          <t>Clarify two-tier thermal envelope: -20°C for Milestone 2 benchtop avionics; -40°C with thermal battery insulation for M5 field trials.</t>
        </is>
      </c>
      <c r="H19" s="38" t="inlineStr">
        <is>
          <t>Thermal Systems Lead | Milestone 1 (M4)</t>
        </is>
      </c>
    </row>
    <row r="20" ht="45" customHeight="1">
      <c r="A20" s="11" t="inlineStr">
        <is>
          <t>RTM-ISSUE-016</t>
        </is>
      </c>
      <c r="B20" s="39" t="inlineStr">
        <is>
          <t>REQ-P-005, REQ-F-004</t>
        </is>
      </c>
      <c r="C20" s="16" t="inlineStr">
        <is>
          <t>Functional Overlap &amp; Phrasing Ambiguity</t>
        </is>
      </c>
      <c r="D20" s="12" t="inlineStr">
        <is>
          <t>GNSS-denied positional drift bound (&lt; 1.0 m per hour) overlaps with REQ-F-004 VIO state estimation; confidence interval undefined.</t>
        </is>
      </c>
      <c r="E20" s="12" t="inlineStr">
        <is>
          <t>Unclear whether &lt; 1.0 m drift is 1-sigma, 2-sigma, or CEP; risk of declaring compliance in simulation without real-world sensor noise.</t>
        </is>
      </c>
      <c r="F20" s="12" t="inlineStr">
        <is>
          <t>P05 FIND-DUP-003 and ISSUE-012 identified uncoordinated requirement drafting across functional and performance sections.</t>
        </is>
      </c>
      <c r="G20" s="12" t="inlineStr">
        <is>
          <t>Formally link REQ-P-005 as performance constraint on REQ-F-004; specify &lt; 1.0 m drift bound as 95% CEP circular error.</t>
        </is>
      </c>
      <c r="H20" s="40" t="inlineStr">
        <is>
          <t>Navigation &amp; GNC Lead | Milestone 1 (M4)</t>
        </is>
      </c>
    </row>
    <row r="21" ht="45" customHeight="1">
      <c r="A21" s="5" t="inlineStr">
        <is>
          <t>RTM-ISSUE-017</t>
        </is>
      </c>
      <c r="B21" s="37" t="inlineStr">
        <is>
          <t>REQ-P-006</t>
        </is>
      </c>
      <c r="C21" s="15" t="inlineStr">
        <is>
          <t>Operational Envelope Ambiguity</t>
        </is>
      </c>
      <c r="D21" s="6" t="inlineStr">
        <is>
          <t>FSO data throughput (1.2 Gbps across 18 km) lacks atmospheric attenuation boundary conditions (clear air vs mountain haze/fog).</t>
        </is>
      </c>
      <c r="E21" s="6" t="inlineStr">
        <is>
          <t>Optical laser links experience severe optical attenuation (&gt; 20 dB/km) in clouds/fog; throughput will collapse without RF fallback.</t>
        </is>
      </c>
      <c r="F21" s="6" t="inlineStr">
        <is>
          <t>Proposal cited optimal laboratory optical throughput without establishing adverse weather link budgets (P05 ISSUE-013).</t>
        </is>
      </c>
      <c r="G21" s="6" t="inlineStr">
        <is>
          <t>Baseline clear-air optical throughput (1.2 Gbps at &lt;= 3 dB/km attenuation); define automated handover to SDR RF fallback when BER &gt; 1e-4.</t>
        </is>
      </c>
      <c r="H21" s="38" t="inlineStr">
        <is>
          <t>Optical Comm Lead | Milestone 2 (M6)</t>
        </is>
      </c>
    </row>
    <row r="22" ht="45" customHeight="1">
      <c r="A22" s="11" t="inlineStr">
        <is>
          <t>RTM-ISSUE-018</t>
        </is>
      </c>
      <c r="B22" s="39" t="inlineStr">
        <is>
          <t>REQ-P-007</t>
        </is>
      </c>
      <c r="C22" s="12" t="inlineStr">
        <is>
          <t>Long-Term Silicon Architecture Tension</t>
        </is>
      </c>
      <c r="D22" s="12" t="inlineStr">
        <is>
          <t>Heterogeneous AI compute relies on NVIDIA COTS acceleration, whereas project mandate establishes progressive migration to C-DAC VEGA / SHAKTI.</t>
        </is>
      </c>
      <c r="E22" s="12" t="inlineStr">
        <is>
          <t>Near-term firmware developed on proprietary CUDA toolchains will require major refactoring to run on indigenous RISC-V silicon.</t>
        </is>
      </c>
      <c r="F22" s="12" t="inlineStr">
        <is>
          <t>Balancing urgent 18-month iDEX delivery milestones against 100% sovereign Make-in-India semiconductor policy (P05 ISSUE-014).</t>
        </is>
      </c>
      <c r="G22" s="12" t="inlineStr">
        <is>
          <t>Mandate containerized POSIX middleware and ONNX/OpenCL abstraction layers to isolate neural inference from underlying hardware silicon.</t>
        </is>
      </c>
      <c r="H22" s="40" t="inlineStr">
        <is>
          <t>Systems Architecture Lead | Milestone 2 (M7)</t>
        </is>
      </c>
    </row>
    <row r="23" ht="45" customHeight="1">
      <c r="A23" s="5" t="inlineStr">
        <is>
          <t>RTM-ISSUE-019</t>
        </is>
      </c>
      <c r="B23" s="37" t="inlineStr">
        <is>
          <t>REQ-P-008, REQ-F-006, REQ-F-007</t>
        </is>
      </c>
      <c r="C23" s="41" t="inlineStr">
        <is>
          <t>Multi-Model Throughput Conflict</t>
        </is>
      </c>
      <c r="D23" s="6" t="inlineStr">
        <is>
          <t>Neural inference ceiling phrasing ('up to 60 FPS') unclear whether applying to object detection, vision transformers, or combined pipeline.</t>
        </is>
      </c>
      <c r="E23" s="6" t="inlineStr">
        <is>
          <t>Unrealistic hardware expectations if 60 FPS is expected for complex vision transformers (REQ-F-007) and change detection (REQ-F-008).</t>
        </is>
      </c>
      <c r="F23" s="6" t="inlineStr">
        <is>
          <t>P05 FIND-DUP-004 identified conflation of lightweight CNN detector frame rates with heavy segmentation transformer pipelines.</t>
        </is>
      </c>
      <c r="G23" s="6" t="inlineStr">
        <is>
          <t>Disaggregate throughput targets: &gt;= 30 FPS for object detection (REQ-F-006); &gt;= 10 FPS for semantic segmentation (REQ-F-007).</t>
        </is>
      </c>
      <c r="H23" s="38" t="inlineStr">
        <is>
          <t>AI &amp; Vision Lead | Milestone 1 (M4)</t>
        </is>
      </c>
    </row>
    <row r="24" ht="45" customHeight="1">
      <c r="A24" s="11" t="inlineStr">
        <is>
          <t>RTM-ISSUE-020</t>
        </is>
      </c>
      <c r="B24" s="39" t="inlineStr">
        <is>
          <t>REQ-P-009</t>
        </is>
      </c>
      <c r="C24" s="15" t="inlineStr">
        <is>
          <t>Subjective Phrasing / Ambiguity</t>
        </is>
      </c>
      <c r="D24" s="12" t="inlineStr">
        <is>
          <t>Airframe radar cross-section uses subjective phrasing ('target estimated low-RCS') without a verifiable quantitative threshold.</t>
        </is>
      </c>
      <c r="E24" s="12" t="inlineStr">
        <is>
          <t>Cannot perform objective pass/fail analysis in anechoic chamber or simulation without a numeric RCS value and radar frequency.</t>
        </is>
      </c>
      <c r="F24" s="12" t="inlineStr">
        <is>
          <t>Proprietary stealth geometry commitments kept generalized in public proposal overview (P05 ISSUE-016).</t>
        </is>
      </c>
      <c r="G24" s="12" t="inlineStr">
        <is>
          <t>Baseline quantitative RCS metric (e.g., frontal RCS &lt;= 0.05 m^2 at X-band 8-12 GHz) in classified Defense Annex.</t>
        </is>
      </c>
      <c r="H24" s="40" t="inlineStr">
        <is>
          <t>Stealth Aerodynamics Lead | Milestone 2 (M8)</t>
        </is>
      </c>
    </row>
    <row r="25" ht="45" customHeight="1">
      <c r="A25" s="5" t="inlineStr">
        <is>
          <t>RTM-ISSUE-021</t>
        </is>
      </c>
      <c r="B25" s="37" t="inlineStr">
        <is>
          <t>REQ-P-010, REQ-F-009</t>
        </is>
      </c>
      <c r="C25" s="41" t="inlineStr">
        <is>
          <t>Critical Frequency Band Conflict</t>
        </is>
      </c>
      <c r="D25" s="6" t="inlineStr">
        <is>
          <t>SDR RF monitoring frequency band has conflict between REA-T1 (400 MHz to 6 GHz) and historical P02 draft (70 MHz to 6 GHz).</t>
        </is>
      </c>
      <c r="E25" s="6" t="inlineStr">
        <is>
          <t>Wideband RF antenna size, matching circuits, and low-noise amplifier (LNA) selection cannot be frozen while lower band is disputed.</t>
        </is>
      </c>
      <c r="F25" s="6" t="inlineStr">
        <is>
          <t>P02 draft inherited legacy wideband SDR specs (70 MHz); REA-T1 optimized band to 400 MHz-6 GHz for tactical SWaP-C (P05 ISSUE-017).</t>
        </is>
      </c>
      <c r="G25" s="6" t="inlineStr">
        <is>
          <t>Formally freeze official operating band as 400 MHz to 6 GHz in SRS; document 70 MHz as non-applicable due to antenna size constraints.</t>
        </is>
      </c>
      <c r="H25" s="38" t="inlineStr">
        <is>
          <t>RF Systems Lead | Milestone 1 (M3)</t>
        </is>
      </c>
    </row>
    <row r="26" ht="45" customHeight="1">
      <c r="A26" s="11" t="inlineStr">
        <is>
          <t>RTM-ISSUE-022</t>
        </is>
      </c>
      <c r="B26" s="39" t="inlineStr">
        <is>
          <t>REQ-SEC-001</t>
        </is>
      </c>
      <c r="C26" s="16" t="inlineStr">
        <is>
          <t>Missing Specification / Key Management</t>
        </is>
      </c>
      <c r="D26" s="12" t="inlineStr">
        <is>
          <t>Hardware Root of Trust lacks cryptographic key generation, certificate authority (CA) root chain, and key revocation protocol.</t>
        </is>
      </c>
      <c r="E26" s="12" t="inlineStr">
        <is>
          <t>Vulnerability to compromised signing keys or inability to update flight firmware securely in forward operating field bases.</t>
        </is>
      </c>
      <c r="F26" s="12" t="inlineStr">
        <is>
          <t>Proposal overview establishes TPM 2.0 enclave without detailed cryptographic key management procedures (P06 OQ-010).</t>
        </is>
      </c>
      <c r="G26" s="12" t="inlineStr">
        <is>
          <t>Define Cryptographic Key Management Plan (CKMP) specifying ECC NIST P-256 boot signatures and offline air-gapped root CA.</t>
        </is>
      </c>
      <c r="H26" s="40" t="inlineStr">
        <is>
          <t>Cybersecurity Lead | Milestone 2 (M5)</t>
        </is>
      </c>
    </row>
    <row r="27" ht="45" customHeight="1">
      <c r="A27" s="5" t="inlineStr">
        <is>
          <t>RTM-ISSUE-023</t>
        </is>
      </c>
      <c r="B27" s="37" t="inlineStr">
        <is>
          <t>REQ-SEC-002</t>
        </is>
      </c>
      <c r="C27" s="41" t="inlineStr">
        <is>
          <t>Safety vs Security Conflict</t>
        </is>
      </c>
      <c r="D27" s="6" t="inlineStr">
        <is>
          <t>Autonomous zero-trace memory wiping lacks inadvertent trigger prevention interlocks and maximum sanitization latency budget.</t>
        </is>
      </c>
      <c r="E27" s="6" t="inlineStr">
        <is>
          <t>High vibration, hard landings, or battery glitch could inadvertently trigger memory zeroization during flight, causing total vehicle loss.</t>
        </is>
      </c>
      <c r="F27" s="6" t="inlineStr">
        <is>
          <t>Emergency wipe mandated for capture prevention without defining flight-state safety interlocks (P06 OQ-011).</t>
        </is>
      </c>
      <c r="G27" s="6" t="inlineStr">
        <is>
          <t>Implement dual-redundant arming interlock requiring confirmed vehicle ground arrest and valid tamper signal before sanitization.</t>
        </is>
      </c>
      <c r="H27" s="38" t="inlineStr">
        <is>
          <t>Cybersecurity &amp; Safety Lead | Milestone 2 (M6)</t>
        </is>
      </c>
    </row>
    <row r="28" ht="45" customHeight="1">
      <c r="A28" s="11" t="inlineStr">
        <is>
          <t>RTM-ISSUE-024</t>
        </is>
      </c>
      <c r="B28" s="39" t="inlineStr">
        <is>
          <t>REQ-S-002, REQ-D-004</t>
        </is>
      </c>
      <c r="C28" s="12" t="inlineStr">
        <is>
          <t>Safety Governance / DAL Gap</t>
        </is>
      </c>
      <c r="D28" s="12" t="inlineStr">
        <is>
          <t>Airborne safety lifecycle standard selection (DO-178C/DO-254 vs Def-Stan) and subsystem Design Assurance Levels (DAL) unallocated.</t>
        </is>
      </c>
      <c r="E28" s="12" t="inlineStr">
        <is>
          <t>Software verification rigor cannot be budgeted without knowing whether flight code requires DAL A, B, or C compliance artifacts.</t>
        </is>
      </c>
      <c r="F28" s="12" t="inlineStr">
        <is>
          <t>P05 FIND-DUP-005 and ISSUE-018 identified lack of formal safety standard tailoring for tactical UAV category.</t>
        </is>
      </c>
      <c r="G28" s="12" t="inlineStr">
        <is>
          <t>Formally allocate DAL B to bare-metal PX4 flight stabilization and DAL D to Linux edge compute AI vision pipelines.</t>
        </is>
      </c>
      <c r="H28" s="40" t="inlineStr">
        <is>
          <t>Quality Assurance Lead | Milestone 1 (M4)</t>
        </is>
      </c>
    </row>
    <row r="29" ht="45" customHeight="1">
      <c r="A29" s="5" t="inlineStr">
        <is>
          <t>RTM-ISSUE-025</t>
        </is>
      </c>
      <c r="B29" s="37" t="inlineStr">
        <is>
          <t>REQ-S-003</t>
        </is>
      </c>
      <c r="C29" s="16" t="inlineStr">
        <is>
          <t>Missing Specification / Timeout Bounds</t>
        </is>
      </c>
      <c r="D29" s="6" t="inlineStr">
        <is>
          <t>Redundant avionics bus communication lacks explicit bus changeover latency bound and heartbeat timeout window.</t>
        </is>
      </c>
      <c r="E29" s="6" t="inlineStr">
        <is>
          <t>Flight controller may experience transient attitude disturbance if primary bus failure takes &gt; 100 ms to detect and switch.</t>
        </is>
      </c>
      <c r="F29" s="6" t="inlineStr">
        <is>
          <t>REA-T1 establishes redundant buses and 10 Hz heartbeat but omits failover switching time limit (P06 OQ-014).</t>
        </is>
      </c>
      <c r="G29" s="6" t="inlineStr">
        <is>
          <t>Specify maximum bus failover transition latency &lt;= 20 ms and heartbeat link-loss timeout bound = 500 ms.</t>
        </is>
      </c>
      <c r="H29" s="38" t="inlineStr">
        <is>
          <t>Avionics Firmware Lead | Milestone 2 (M5)</t>
        </is>
      </c>
    </row>
    <row r="30" ht="45" customHeight="1">
      <c r="A30" s="11" t="inlineStr">
        <is>
          <t>RTM-ISSUE-026</t>
        </is>
      </c>
      <c r="B30" s="39" t="inlineStr">
        <is>
          <t>REQ-S-004, REQ-F-013</t>
        </is>
      </c>
      <c r="C30" s="16" t="inlineStr">
        <is>
          <t>Missing Timing Tolerance</t>
        </is>
      </c>
      <c r="D30" s="12" t="inlineStr">
        <is>
          <t>Dual-redundant opto-isolated cargo release interlock lacks discrete signal timing window and inadvertent release voltage threshold.</t>
        </is>
      </c>
      <c r="E30" s="12" t="inlineStr">
        <is>
          <t>Inductive switching transients or ground bounce could falsely satisfy release interlock logic without dual discrete pulses.</t>
        </is>
      </c>
      <c r="F30" s="12" t="inlineStr">
        <is>
          <t>P07 GAP-IF-008 identified absence of time-window coincidence bounds between Arm and Fire discrete commands.</t>
        </is>
      </c>
      <c r="G30" s="12" t="inlineStr">
        <is>
          <t>Mandate dual discrete signals (Arm + Fire) must coincide within a 50 ms window (+/- 10 ms) with minimum 12V high threshold.</t>
        </is>
      </c>
      <c r="H30" s="40" t="inlineStr">
        <is>
          <t>Payload Control Lead | Milestone 2 (M6)</t>
        </is>
      </c>
    </row>
    <row r="31" ht="45" customHeight="1">
      <c r="A31" s="5" t="inlineStr">
        <is>
          <t>RTM-ISSUE-027</t>
        </is>
      </c>
      <c r="B31" s="37" t="inlineStr">
        <is>
          <t>REQ-S-005</t>
        </is>
      </c>
      <c r="C31" s="6" t="inlineStr">
        <is>
          <t>Security / Maintenance Tradeoff</t>
        </is>
      </c>
      <c r="D31" s="6" t="inlineStr">
        <is>
          <t>Strict air-gapped inter-process communication policy lacks authorized protocol for ground maintenance diagnostic data extraction.</t>
        </is>
      </c>
      <c r="E31" s="6" t="inlineStr">
        <is>
          <t>Field technicians cannot retrieve encrypted flight logs, thermal audits, or sensor health reports without breaking air-gap policy.</t>
        </is>
      </c>
      <c r="F31" s="6" t="inlineStr">
        <is>
          <t>Total air-gap policy drafted without defining secure physical ground support equipment (GSE) diagnostic port interfaces.</t>
        </is>
      </c>
      <c r="G31" s="6" t="inlineStr">
        <is>
          <t>Specify optically-isolated physical USB/Ethernet maintenance port active ONLY in disarmed ground state with cryptographic challenge-response.</t>
        </is>
      </c>
      <c r="H31" s="38" t="inlineStr">
        <is>
          <t>Systems Integration Lead | Milestone 2 (M6)</t>
        </is>
      </c>
    </row>
  </sheetData>
  <autoFilter ref="A4:H31"/>
  <mergeCells count="3">
    <mergeCell ref="A3:H3"/>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2026-10-27T23:31:11Z</dcterms:created>
  <dcterms:modified xmlns:dcterms="http://purl.org/dc/terms/" xmlns:xsi="http://www.w3.org/2001/XMLSchema-instance" xsi:type="dcterms:W3CDTF">2026-10-27T23:31:11Z</dcterms:modified>
</cp:coreProperties>
</file>